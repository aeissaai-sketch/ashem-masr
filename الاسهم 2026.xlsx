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اخر تحديث\"/>
    </mc:Choice>
  </mc:AlternateContent>
  <xr:revisionPtr revIDLastSave="0" documentId="13_ncr:1_{5AC2FE10-1DBC-4E2D-9C96-9261DAC14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3" sheetId="3" r:id="rId1"/>
    <sheet name="Sheet4" sheetId="6" state="hidden" r:id="rId2"/>
    <sheet name="Sheet2" sheetId="5" r:id="rId3"/>
    <sheet name="Sheet6" sheetId="8" r:id="rId4"/>
    <sheet name="Sheet5" sheetId="9" r:id="rId5"/>
    <sheet name="Sheet1" sheetId="4" r:id="rId6"/>
  </sheets>
  <definedNames>
    <definedName name="_xlnm._FilterDatabase" localSheetId="5" hidden="1">Sheet1!$A$1:$F$239</definedName>
    <definedName name="_xlnm._FilterDatabase" localSheetId="2" hidden="1">Sheet2!$A$1:$N$426</definedName>
    <definedName name="_xlnm._FilterDatabase" localSheetId="0" hidden="1">Sheet3!$A$1:$O$229</definedName>
    <definedName name="_xlnm._FilterDatabase" localSheetId="4" hidden="1">Sheet5!$D$1:$H$238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9" l="1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" i="9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32" i="3"/>
  <c r="I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32" i="3"/>
  <c r="G232" i="3"/>
  <c r="G233" i="3"/>
  <c r="I233" i="3"/>
  <c r="G234" i="3"/>
  <c r="I234" i="3"/>
  <c r="G235" i="3"/>
  <c r="I235" i="3"/>
  <c r="G236" i="3"/>
  <c r="I236" i="3"/>
  <c r="G237" i="3"/>
  <c r="I237" i="3"/>
  <c r="G238" i="3"/>
  <c r="I238" i="3"/>
  <c r="G239" i="3"/>
  <c r="I239" i="3"/>
  <c r="G240" i="3"/>
  <c r="I240" i="3"/>
  <c r="G241" i="3"/>
  <c r="I241" i="3"/>
  <c r="G242" i="3"/>
  <c r="I242" i="3"/>
  <c r="G243" i="3"/>
  <c r="I243" i="3"/>
  <c r="G244" i="3"/>
  <c r="I244" i="3"/>
  <c r="G245" i="3"/>
  <c r="I245" i="3"/>
  <c r="G246" i="3"/>
  <c r="I246" i="3"/>
  <c r="G247" i="3"/>
  <c r="I247" i="3"/>
  <c r="G248" i="3"/>
  <c r="I248" i="3"/>
  <c r="G249" i="3"/>
  <c r="I249" i="3"/>
  <c r="G250" i="3"/>
  <c r="I250" i="3"/>
  <c r="G251" i="3"/>
  <c r="I251" i="3"/>
  <c r="G252" i="3"/>
  <c r="I252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C230" i="3"/>
  <c r="C229" i="3"/>
  <c r="O229" i="3" s="1"/>
  <c r="C228" i="3"/>
  <c r="N228" i="3" s="1"/>
  <c r="C227" i="3"/>
  <c r="N227" i="3" s="1"/>
  <c r="C226" i="3"/>
  <c r="N226" i="3" s="1"/>
  <c r="C225" i="3"/>
  <c r="O225" i="3" s="1"/>
  <c r="C224" i="3"/>
  <c r="C223" i="3"/>
  <c r="M223" i="3" s="1"/>
  <c r="C222" i="3"/>
  <c r="O222" i="3" s="1"/>
  <c r="M229" i="3"/>
  <c r="C206" i="3"/>
  <c r="C207" i="3"/>
  <c r="G207" i="3" s="1"/>
  <c r="C204" i="3"/>
  <c r="B204" i="3" s="1"/>
  <c r="C205" i="3"/>
  <c r="C208" i="3"/>
  <c r="E208" i="3" s="1"/>
  <c r="C209" i="3"/>
  <c r="H209" i="3" s="1"/>
  <c r="C210" i="3"/>
  <c r="G210" i="3" s="1"/>
  <c r="C211" i="3"/>
  <c r="L211" i="3" s="1"/>
  <c r="C212" i="3"/>
  <c r="I212" i="3" s="1"/>
  <c r="C213" i="3"/>
  <c r="F213" i="3" s="1"/>
  <c r="C214" i="3"/>
  <c r="G214" i="3" s="1"/>
  <c r="C215" i="3"/>
  <c r="E215" i="3" s="1"/>
  <c r="C216" i="3"/>
  <c r="E216" i="3" s="1"/>
  <c r="C217" i="3"/>
  <c r="F217" i="3" s="1"/>
  <c r="C218" i="3"/>
  <c r="G218" i="3" s="1"/>
  <c r="C219" i="3"/>
  <c r="L219" i="3" s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C2" i="3"/>
  <c r="B2" i="3" s="1"/>
  <c r="C3" i="3"/>
  <c r="B3" i="3" s="1"/>
  <c r="C192" i="3"/>
  <c r="B192" i="3" s="1"/>
  <c r="C4" i="3"/>
  <c r="B4" i="3" s="1"/>
  <c r="C5" i="3"/>
  <c r="B5" i="3" s="1"/>
  <c r="C6" i="3"/>
  <c r="B6" i="3" s="1"/>
  <c r="C7" i="3"/>
  <c r="B7" i="3" s="1"/>
  <c r="C8" i="3"/>
  <c r="B8" i="3" s="1"/>
  <c r="C9" i="3"/>
  <c r="B9" i="3" s="1"/>
  <c r="C10" i="3"/>
  <c r="B10" i="3" s="1"/>
  <c r="C11" i="3"/>
  <c r="B11" i="3" s="1"/>
  <c r="C12" i="3"/>
  <c r="B12" i="3" s="1"/>
  <c r="C13" i="3"/>
  <c r="B13" i="3" s="1"/>
  <c r="C14" i="3"/>
  <c r="B14" i="3" s="1"/>
  <c r="C15" i="3"/>
  <c r="B15" i="3" s="1"/>
  <c r="C16" i="3"/>
  <c r="B16" i="3" s="1"/>
  <c r="C17" i="3"/>
  <c r="B17" i="3" s="1"/>
  <c r="C18" i="3"/>
  <c r="B18" i="3" s="1"/>
  <c r="C19" i="3"/>
  <c r="B19" i="3" s="1"/>
  <c r="C20" i="3"/>
  <c r="B20" i="3" s="1"/>
  <c r="C21" i="3"/>
  <c r="B21" i="3" s="1"/>
  <c r="C22" i="3"/>
  <c r="B22" i="3" s="1"/>
  <c r="C23" i="3"/>
  <c r="B23" i="3" s="1"/>
  <c r="C24" i="3"/>
  <c r="B24" i="3" s="1"/>
  <c r="C25" i="3"/>
  <c r="B25" i="3" s="1"/>
  <c r="C26" i="3"/>
  <c r="B26" i="3" s="1"/>
  <c r="C27" i="3"/>
  <c r="B27" i="3" s="1"/>
  <c r="C28" i="3"/>
  <c r="B28" i="3" s="1"/>
  <c r="C29" i="3"/>
  <c r="B29" i="3" s="1"/>
  <c r="C30" i="3"/>
  <c r="B30" i="3" s="1"/>
  <c r="C31" i="3"/>
  <c r="B31" i="3" s="1"/>
  <c r="C32" i="3"/>
  <c r="B32" i="3" s="1"/>
  <c r="C33" i="3"/>
  <c r="B33" i="3" s="1"/>
  <c r="C34" i="3"/>
  <c r="B34" i="3" s="1"/>
  <c r="C35" i="3"/>
  <c r="B35" i="3" s="1"/>
  <c r="C36" i="3"/>
  <c r="B36" i="3" s="1"/>
  <c r="C37" i="3"/>
  <c r="B37" i="3" s="1"/>
  <c r="C38" i="3"/>
  <c r="B38" i="3" s="1"/>
  <c r="C39" i="3"/>
  <c r="B39" i="3" s="1"/>
  <c r="C40" i="3"/>
  <c r="B40" i="3" s="1"/>
  <c r="C41" i="3"/>
  <c r="B41" i="3" s="1"/>
  <c r="C42" i="3"/>
  <c r="B42" i="3" s="1"/>
  <c r="C43" i="3"/>
  <c r="B43" i="3" s="1"/>
  <c r="C44" i="3"/>
  <c r="B44" i="3" s="1"/>
  <c r="C45" i="3"/>
  <c r="B45" i="3" s="1"/>
  <c r="C46" i="3"/>
  <c r="B46" i="3" s="1"/>
  <c r="C47" i="3"/>
  <c r="B47" i="3" s="1"/>
  <c r="C48" i="3"/>
  <c r="B48" i="3" s="1"/>
  <c r="C49" i="3"/>
  <c r="B49" i="3" s="1"/>
  <c r="C50" i="3"/>
  <c r="B50" i="3" s="1"/>
  <c r="C51" i="3"/>
  <c r="B51" i="3" s="1"/>
  <c r="C52" i="3"/>
  <c r="B52" i="3" s="1"/>
  <c r="C53" i="3"/>
  <c r="B53" i="3" s="1"/>
  <c r="C54" i="3"/>
  <c r="B54" i="3" s="1"/>
  <c r="C55" i="3"/>
  <c r="B55" i="3" s="1"/>
  <c r="C56" i="3"/>
  <c r="B56" i="3" s="1"/>
  <c r="C57" i="3"/>
  <c r="B57" i="3" s="1"/>
  <c r="C58" i="3"/>
  <c r="B58" i="3" s="1"/>
  <c r="C59" i="3"/>
  <c r="B59" i="3" s="1"/>
  <c r="C60" i="3"/>
  <c r="B60" i="3" s="1"/>
  <c r="C61" i="3"/>
  <c r="B61" i="3" s="1"/>
  <c r="C62" i="3"/>
  <c r="B62" i="3" s="1"/>
  <c r="C63" i="3"/>
  <c r="B63" i="3" s="1"/>
  <c r="C64" i="3"/>
  <c r="B64" i="3" s="1"/>
  <c r="C65" i="3"/>
  <c r="B65" i="3" s="1"/>
  <c r="C66" i="3"/>
  <c r="B66" i="3" s="1"/>
  <c r="C67" i="3"/>
  <c r="B67" i="3" s="1"/>
  <c r="C68" i="3"/>
  <c r="B68" i="3" s="1"/>
  <c r="C69" i="3"/>
  <c r="B69" i="3" s="1"/>
  <c r="C70" i="3"/>
  <c r="B70" i="3" s="1"/>
  <c r="C71" i="3"/>
  <c r="B71" i="3" s="1"/>
  <c r="C72" i="3"/>
  <c r="B72" i="3" s="1"/>
  <c r="C73" i="3"/>
  <c r="B73" i="3" s="1"/>
  <c r="C74" i="3"/>
  <c r="B74" i="3" s="1"/>
  <c r="C75" i="3"/>
  <c r="B75" i="3" s="1"/>
  <c r="C76" i="3"/>
  <c r="B76" i="3" s="1"/>
  <c r="C77" i="3"/>
  <c r="B77" i="3" s="1"/>
  <c r="C78" i="3"/>
  <c r="B78" i="3" s="1"/>
  <c r="C79" i="3"/>
  <c r="B79" i="3" s="1"/>
  <c r="C80" i="3"/>
  <c r="B80" i="3" s="1"/>
  <c r="C81" i="3"/>
  <c r="B81" i="3" s="1"/>
  <c r="C82" i="3"/>
  <c r="B82" i="3" s="1"/>
  <c r="C83" i="3"/>
  <c r="B83" i="3" s="1"/>
  <c r="C84" i="3"/>
  <c r="B84" i="3" s="1"/>
  <c r="C85" i="3"/>
  <c r="B85" i="3" s="1"/>
  <c r="C86" i="3"/>
  <c r="B86" i="3" s="1"/>
  <c r="C87" i="3"/>
  <c r="B87" i="3" s="1"/>
  <c r="C88" i="3"/>
  <c r="B88" i="3" s="1"/>
  <c r="C89" i="3"/>
  <c r="B89" i="3" s="1"/>
  <c r="C90" i="3"/>
  <c r="B90" i="3" s="1"/>
  <c r="C91" i="3"/>
  <c r="B91" i="3" s="1"/>
  <c r="C92" i="3"/>
  <c r="B92" i="3" s="1"/>
  <c r="C93" i="3"/>
  <c r="B93" i="3" s="1"/>
  <c r="C94" i="3"/>
  <c r="B94" i="3" s="1"/>
  <c r="C95" i="3"/>
  <c r="B95" i="3" s="1"/>
  <c r="C96" i="3"/>
  <c r="B96" i="3" s="1"/>
  <c r="C97" i="3"/>
  <c r="B97" i="3" s="1"/>
  <c r="C98" i="3"/>
  <c r="B98" i="3" s="1"/>
  <c r="C99" i="3"/>
  <c r="B99" i="3" s="1"/>
  <c r="C100" i="3"/>
  <c r="B100" i="3" s="1"/>
  <c r="C101" i="3"/>
  <c r="B101" i="3" s="1"/>
  <c r="C102" i="3"/>
  <c r="B102" i="3" s="1"/>
  <c r="C103" i="3"/>
  <c r="B103" i="3" s="1"/>
  <c r="C104" i="3"/>
  <c r="B104" i="3" s="1"/>
  <c r="C105" i="3"/>
  <c r="B105" i="3" s="1"/>
  <c r="C106" i="3"/>
  <c r="B106" i="3" s="1"/>
  <c r="C107" i="3"/>
  <c r="B107" i="3" s="1"/>
  <c r="C108" i="3"/>
  <c r="B108" i="3" s="1"/>
  <c r="C109" i="3"/>
  <c r="B109" i="3" s="1"/>
  <c r="C110" i="3"/>
  <c r="B110" i="3" s="1"/>
  <c r="C111" i="3"/>
  <c r="B111" i="3" s="1"/>
  <c r="C112" i="3"/>
  <c r="B112" i="3" s="1"/>
  <c r="C113" i="3"/>
  <c r="B113" i="3" s="1"/>
  <c r="C114" i="3"/>
  <c r="B114" i="3" s="1"/>
  <c r="C115" i="3"/>
  <c r="B115" i="3" s="1"/>
  <c r="C116" i="3"/>
  <c r="B116" i="3" s="1"/>
  <c r="C117" i="3"/>
  <c r="B117" i="3" s="1"/>
  <c r="C118" i="3"/>
  <c r="B118" i="3" s="1"/>
  <c r="C119" i="3"/>
  <c r="B119" i="3" s="1"/>
  <c r="C120" i="3"/>
  <c r="B120" i="3" s="1"/>
  <c r="C121" i="3"/>
  <c r="B121" i="3" s="1"/>
  <c r="C122" i="3"/>
  <c r="B122" i="3" s="1"/>
  <c r="C123" i="3"/>
  <c r="B123" i="3" s="1"/>
  <c r="C124" i="3"/>
  <c r="B124" i="3" s="1"/>
  <c r="C125" i="3"/>
  <c r="B125" i="3" s="1"/>
  <c r="C126" i="3"/>
  <c r="B126" i="3" s="1"/>
  <c r="C127" i="3"/>
  <c r="B127" i="3" s="1"/>
  <c r="C128" i="3"/>
  <c r="B128" i="3" s="1"/>
  <c r="C129" i="3"/>
  <c r="B129" i="3" s="1"/>
  <c r="C130" i="3"/>
  <c r="B130" i="3" s="1"/>
  <c r="C131" i="3"/>
  <c r="B131" i="3" s="1"/>
  <c r="C132" i="3"/>
  <c r="B132" i="3" s="1"/>
  <c r="C133" i="3"/>
  <c r="B133" i="3" s="1"/>
  <c r="C134" i="3"/>
  <c r="B134" i="3" s="1"/>
  <c r="C135" i="3"/>
  <c r="B135" i="3" s="1"/>
  <c r="C136" i="3"/>
  <c r="B136" i="3" s="1"/>
  <c r="C137" i="3"/>
  <c r="B137" i="3" s="1"/>
  <c r="C138" i="3"/>
  <c r="B138" i="3" s="1"/>
  <c r="C139" i="3"/>
  <c r="B139" i="3" s="1"/>
  <c r="C140" i="3"/>
  <c r="B140" i="3" s="1"/>
  <c r="C141" i="3"/>
  <c r="B141" i="3" s="1"/>
  <c r="C142" i="3"/>
  <c r="B142" i="3" s="1"/>
  <c r="C143" i="3"/>
  <c r="B143" i="3" s="1"/>
  <c r="C144" i="3"/>
  <c r="B144" i="3" s="1"/>
  <c r="C145" i="3"/>
  <c r="B145" i="3" s="1"/>
  <c r="C146" i="3"/>
  <c r="B146" i="3" s="1"/>
  <c r="C147" i="3"/>
  <c r="B147" i="3" s="1"/>
  <c r="C148" i="3"/>
  <c r="B148" i="3" s="1"/>
  <c r="C149" i="3"/>
  <c r="B149" i="3" s="1"/>
  <c r="C150" i="3"/>
  <c r="B150" i="3" s="1"/>
  <c r="C151" i="3"/>
  <c r="B151" i="3" s="1"/>
  <c r="C152" i="3"/>
  <c r="B152" i="3" s="1"/>
  <c r="C153" i="3"/>
  <c r="B153" i="3" s="1"/>
  <c r="C154" i="3"/>
  <c r="B154" i="3" s="1"/>
  <c r="C155" i="3"/>
  <c r="B155" i="3" s="1"/>
  <c r="C156" i="3"/>
  <c r="B156" i="3" s="1"/>
  <c r="C157" i="3"/>
  <c r="B157" i="3" s="1"/>
  <c r="C158" i="3"/>
  <c r="B158" i="3" s="1"/>
  <c r="C159" i="3"/>
  <c r="B159" i="3" s="1"/>
  <c r="C160" i="3"/>
  <c r="B160" i="3" s="1"/>
  <c r="C161" i="3"/>
  <c r="B161" i="3" s="1"/>
  <c r="C162" i="3"/>
  <c r="B162" i="3" s="1"/>
  <c r="C163" i="3"/>
  <c r="B163" i="3" s="1"/>
  <c r="C164" i="3"/>
  <c r="B164" i="3" s="1"/>
  <c r="C165" i="3"/>
  <c r="B165" i="3" s="1"/>
  <c r="C166" i="3"/>
  <c r="B166" i="3" s="1"/>
  <c r="C167" i="3"/>
  <c r="B167" i="3" s="1"/>
  <c r="C168" i="3"/>
  <c r="B168" i="3" s="1"/>
  <c r="C169" i="3"/>
  <c r="B169" i="3" s="1"/>
  <c r="C170" i="3"/>
  <c r="B170" i="3" s="1"/>
  <c r="C171" i="3"/>
  <c r="B171" i="3" s="1"/>
  <c r="C172" i="3"/>
  <c r="B172" i="3" s="1"/>
  <c r="C173" i="3"/>
  <c r="B173" i="3" s="1"/>
  <c r="C174" i="3"/>
  <c r="B174" i="3" s="1"/>
  <c r="C175" i="3"/>
  <c r="B175" i="3" s="1"/>
  <c r="C176" i="3"/>
  <c r="B176" i="3" s="1"/>
  <c r="C177" i="3"/>
  <c r="B177" i="3" s="1"/>
  <c r="C178" i="3"/>
  <c r="B178" i="3" s="1"/>
  <c r="C179" i="3"/>
  <c r="B179" i="3" s="1"/>
  <c r="C180" i="3"/>
  <c r="B180" i="3" s="1"/>
  <c r="C181" i="3"/>
  <c r="B181" i="3" s="1"/>
  <c r="C182" i="3"/>
  <c r="B182" i="3" s="1"/>
  <c r="C183" i="3"/>
  <c r="B183" i="3" s="1"/>
  <c r="C184" i="3"/>
  <c r="B184" i="3" s="1"/>
  <c r="C185" i="3"/>
  <c r="B185" i="3" s="1"/>
  <c r="C186" i="3"/>
  <c r="B186" i="3" s="1"/>
  <c r="C187" i="3"/>
  <c r="B187" i="3" s="1"/>
  <c r="C188" i="3"/>
  <c r="B188" i="3" s="1"/>
  <c r="C189" i="3"/>
  <c r="B189" i="3" s="1"/>
  <c r="C190" i="3"/>
  <c r="B190" i="3" s="1"/>
  <c r="C191" i="3"/>
  <c r="B191" i="3" s="1"/>
  <c r="C193" i="3"/>
  <c r="B193" i="3" s="1"/>
  <c r="C194" i="3"/>
  <c r="B194" i="3" s="1"/>
  <c r="C195" i="3"/>
  <c r="B195" i="3" s="1"/>
  <c r="C196" i="3"/>
  <c r="B196" i="3" s="1"/>
  <c r="C197" i="3"/>
  <c r="B197" i="3" s="1"/>
  <c r="C198" i="3"/>
  <c r="B198" i="3" s="1"/>
  <c r="C199" i="3"/>
  <c r="B199" i="3" s="1"/>
  <c r="C200" i="3"/>
  <c r="B200" i="3" s="1"/>
  <c r="C201" i="3"/>
  <c r="B201" i="3" s="1"/>
  <c r="C202" i="3"/>
  <c r="B202" i="3" s="1"/>
  <c r="C203" i="3"/>
  <c r="A2" i="5"/>
  <c r="A3" i="5"/>
  <c r="A4" i="5"/>
  <c r="A5" i="5"/>
  <c r="A6" i="5"/>
  <c r="A7" i="5"/>
  <c r="A8" i="5"/>
  <c r="A1" i="5"/>
  <c r="I206" i="3" l="1"/>
  <c r="N229" i="3"/>
  <c r="M207" i="3"/>
  <c r="M228" i="3"/>
  <c r="G143" i="3"/>
  <c r="M227" i="3"/>
  <c r="O223" i="3"/>
  <c r="M220" i="3"/>
  <c r="O224" i="3"/>
  <c r="O227" i="3"/>
  <c r="N223" i="3"/>
  <c r="O228" i="3"/>
  <c r="M221" i="3"/>
  <c r="O220" i="3"/>
  <c r="O221" i="3"/>
  <c r="N220" i="3"/>
  <c r="N224" i="3"/>
  <c r="M224" i="3"/>
  <c r="N221" i="3"/>
  <c r="J207" i="3"/>
  <c r="N225" i="3"/>
  <c r="L215" i="3"/>
  <c r="L207" i="3"/>
  <c r="M225" i="3"/>
  <c r="O226" i="3"/>
  <c r="M226" i="3"/>
  <c r="I217" i="3"/>
  <c r="N222" i="3"/>
  <c r="M222" i="3"/>
  <c r="N209" i="3"/>
  <c r="L217" i="3"/>
  <c r="K209" i="3"/>
  <c r="H217" i="3"/>
  <c r="J209" i="3"/>
  <c r="F209" i="3"/>
  <c r="J215" i="3"/>
  <c r="O219" i="3"/>
  <c r="I215" i="3"/>
  <c r="N219" i="3"/>
  <c r="M217" i="3"/>
  <c r="E217" i="3"/>
  <c r="O209" i="3"/>
  <c r="G209" i="3"/>
  <c r="M219" i="3"/>
  <c r="O217" i="3"/>
  <c r="K217" i="3"/>
  <c r="G217" i="3"/>
  <c r="M209" i="3"/>
  <c r="I209" i="3"/>
  <c r="E209" i="3"/>
  <c r="E207" i="3"/>
  <c r="N217" i="3"/>
  <c r="J217" i="3"/>
  <c r="L209" i="3"/>
  <c r="I205" i="3"/>
  <c r="H220" i="3"/>
  <c r="L203" i="3"/>
  <c r="J216" i="3"/>
  <c r="N210" i="3"/>
  <c r="O206" i="3"/>
  <c r="N206" i="3"/>
  <c r="L214" i="3"/>
  <c r="K218" i="3"/>
  <c r="N214" i="3"/>
  <c r="M206" i="3"/>
  <c r="M214" i="3"/>
  <c r="H206" i="3"/>
  <c r="K214" i="3"/>
  <c r="F206" i="3"/>
  <c r="F214" i="3"/>
  <c r="E206" i="3"/>
  <c r="G206" i="3"/>
  <c r="E214" i="3"/>
  <c r="G216" i="3"/>
  <c r="K207" i="3"/>
  <c r="O208" i="3"/>
  <c r="K215" i="3"/>
  <c r="L208" i="3"/>
  <c r="F207" i="3"/>
  <c r="O216" i="3"/>
  <c r="K208" i="3"/>
  <c r="L216" i="3"/>
  <c r="J208" i="3"/>
  <c r="B205" i="3"/>
  <c r="K216" i="3"/>
  <c r="H215" i="3"/>
  <c r="M210" i="3"/>
  <c r="N207" i="3"/>
  <c r="B203" i="3"/>
  <c r="E218" i="3"/>
  <c r="I216" i="3"/>
  <c r="K221" i="3"/>
  <c r="K204" i="3"/>
  <c r="N204" i="3"/>
  <c r="L221" i="3"/>
  <c r="F229" i="3"/>
  <c r="G228" i="3"/>
  <c r="J227" i="3"/>
  <c r="E226" i="3"/>
  <c r="H225" i="3"/>
  <c r="L223" i="3"/>
  <c r="G222" i="3"/>
  <c r="J221" i="3"/>
  <c r="E220" i="3"/>
  <c r="L204" i="3"/>
  <c r="H229" i="3"/>
  <c r="I222" i="3"/>
  <c r="G220" i="3"/>
  <c r="F226" i="3"/>
  <c r="E223" i="3"/>
  <c r="E229" i="3"/>
  <c r="F228" i="3"/>
  <c r="I227" i="3"/>
  <c r="L226" i="3"/>
  <c r="G225" i="3"/>
  <c r="K223" i="3"/>
  <c r="F222" i="3"/>
  <c r="I221" i="3"/>
  <c r="L220" i="3"/>
  <c r="H228" i="3"/>
  <c r="H222" i="3"/>
  <c r="L229" i="3"/>
  <c r="E228" i="3"/>
  <c r="H227" i="3"/>
  <c r="K226" i="3"/>
  <c r="F225" i="3"/>
  <c r="J223" i="3"/>
  <c r="E222" i="3"/>
  <c r="H221" i="3"/>
  <c r="K220" i="3"/>
  <c r="I228" i="3"/>
  <c r="G226" i="3"/>
  <c r="F223" i="3"/>
  <c r="G229" i="3"/>
  <c r="F220" i="3"/>
  <c r="K229" i="3"/>
  <c r="L228" i="3"/>
  <c r="G227" i="3"/>
  <c r="J226" i="3"/>
  <c r="E225" i="3"/>
  <c r="I223" i="3"/>
  <c r="L222" i="3"/>
  <c r="G221" i="3"/>
  <c r="J220" i="3"/>
  <c r="L227" i="3"/>
  <c r="J225" i="3"/>
  <c r="K227" i="3"/>
  <c r="I225" i="3"/>
  <c r="J229" i="3"/>
  <c r="K228" i="3"/>
  <c r="F227" i="3"/>
  <c r="I226" i="3"/>
  <c r="L225" i="3"/>
  <c r="H223" i="3"/>
  <c r="K222" i="3"/>
  <c r="F221" i="3"/>
  <c r="I220" i="3"/>
  <c r="I229" i="3"/>
  <c r="J228" i="3"/>
  <c r="E227" i="3"/>
  <c r="H226" i="3"/>
  <c r="K225" i="3"/>
  <c r="G223" i="3"/>
  <c r="J222" i="3"/>
  <c r="E221" i="3"/>
  <c r="I218" i="3"/>
  <c r="K210" i="3"/>
  <c r="I219" i="3"/>
  <c r="H219" i="3"/>
  <c r="M213" i="3"/>
  <c r="M212" i="3"/>
  <c r="F219" i="3"/>
  <c r="K212" i="3"/>
  <c r="I210" i="3"/>
  <c r="N218" i="3"/>
  <c r="K211" i="3"/>
  <c r="F210" i="3"/>
  <c r="O205" i="3"/>
  <c r="M218" i="3"/>
  <c r="J211" i="3"/>
  <c r="E210" i="3"/>
  <c r="N205" i="3"/>
  <c r="L218" i="3"/>
  <c r="I211" i="3"/>
  <c r="E205" i="3"/>
  <c r="L213" i="3"/>
  <c r="F218" i="3"/>
  <c r="N212" i="3"/>
  <c r="L210" i="3"/>
  <c r="O215" i="3"/>
  <c r="G215" i="3"/>
  <c r="J214" i="3"/>
  <c r="K213" i="3"/>
  <c r="H212" i="3"/>
  <c r="H211" i="3"/>
  <c r="I208" i="3"/>
  <c r="I207" i="3"/>
  <c r="L206" i="3"/>
  <c r="M205" i="3"/>
  <c r="J204" i="3"/>
  <c r="K203" i="3"/>
  <c r="N215" i="3"/>
  <c r="F215" i="3"/>
  <c r="I214" i="3"/>
  <c r="J213" i="3"/>
  <c r="G212" i="3"/>
  <c r="F211" i="3"/>
  <c r="G208" i="3"/>
  <c r="H207" i="3"/>
  <c r="K206" i="3"/>
  <c r="K205" i="3"/>
  <c r="I204" i="3"/>
  <c r="J203" i="3"/>
  <c r="M215" i="3"/>
  <c r="H214" i="3"/>
  <c r="H213" i="3"/>
  <c r="F212" i="3"/>
  <c r="O207" i="3"/>
  <c r="J206" i="3"/>
  <c r="H205" i="3"/>
  <c r="H204" i="3"/>
  <c r="I203" i="3"/>
  <c r="K219" i="3"/>
  <c r="O214" i="3"/>
  <c r="E213" i="3"/>
  <c r="E212" i="3"/>
  <c r="G205" i="3"/>
  <c r="F204" i="3"/>
  <c r="H203" i="3"/>
  <c r="J219" i="3"/>
  <c r="O212" i="3"/>
  <c r="N211" i="3"/>
  <c r="F205" i="3"/>
  <c r="O203" i="3"/>
  <c r="G203" i="3"/>
  <c r="N203" i="3"/>
  <c r="F203" i="3"/>
  <c r="M203" i="3"/>
  <c r="E203" i="3"/>
  <c r="G219" i="3"/>
  <c r="J218" i="3"/>
  <c r="H216" i="3"/>
  <c r="I213" i="3"/>
  <c r="L212" i="3"/>
  <c r="O211" i="3"/>
  <c r="G211" i="3"/>
  <c r="J210" i="3"/>
  <c r="H208" i="3"/>
  <c r="L205" i="3"/>
  <c r="O204" i="3"/>
  <c r="G204" i="3"/>
  <c r="E219" i="3"/>
  <c r="H218" i="3"/>
  <c r="N216" i="3"/>
  <c r="F216" i="3"/>
  <c r="O213" i="3"/>
  <c r="G213" i="3"/>
  <c r="J212" i="3"/>
  <c r="M211" i="3"/>
  <c r="E211" i="3"/>
  <c r="H210" i="3"/>
  <c r="N208" i="3"/>
  <c r="F208" i="3"/>
  <c r="J205" i="3"/>
  <c r="M204" i="3"/>
  <c r="E204" i="3"/>
  <c r="O218" i="3"/>
  <c r="M216" i="3"/>
  <c r="N213" i="3"/>
  <c r="O210" i="3"/>
  <c r="M208" i="3"/>
  <c r="E2" i="3"/>
  <c r="H9" i="3"/>
  <c r="K24" i="3"/>
  <c r="H33" i="3"/>
  <c r="M36" i="3"/>
  <c r="M43" i="3"/>
  <c r="F47" i="3"/>
  <c r="L50" i="3"/>
  <c r="N54" i="3"/>
  <c r="L58" i="3"/>
  <c r="K61" i="3"/>
  <c r="M62" i="3"/>
  <c r="E68" i="3"/>
  <c r="G73" i="3"/>
  <c r="I74" i="3"/>
  <c r="L79" i="3"/>
  <c r="J83" i="3"/>
  <c r="I87" i="3"/>
  <c r="N91" i="3"/>
  <c r="M93" i="3"/>
  <c r="L96" i="3"/>
  <c r="K99" i="3"/>
  <c r="J102" i="3"/>
  <c r="I105" i="3"/>
  <c r="H107" i="3"/>
  <c r="G110" i="3"/>
  <c r="F114" i="3"/>
  <c r="E117" i="3"/>
  <c r="O119" i="3"/>
  <c r="N122" i="3"/>
  <c r="M125" i="3"/>
  <c r="L129" i="3"/>
  <c r="K132" i="3"/>
  <c r="I136" i="3"/>
  <c r="H139" i="3"/>
  <c r="G142" i="3"/>
  <c r="F145" i="3"/>
  <c r="E148" i="3"/>
  <c r="E150" i="3"/>
  <c r="O151" i="3"/>
  <c r="H153" i="3"/>
  <c r="K16" i="3"/>
  <c r="E28" i="3"/>
  <c r="J31" i="3"/>
  <c r="K38" i="3"/>
  <c r="I40" i="3"/>
  <c r="N48" i="3"/>
  <c r="F52" i="3"/>
  <c r="E56" i="3"/>
  <c r="O59" i="3"/>
  <c r="J65" i="3"/>
  <c r="L66" i="3"/>
  <c r="K70" i="3"/>
  <c r="M75" i="3"/>
  <c r="H78" i="3"/>
  <c r="G82" i="3"/>
  <c r="M88" i="3"/>
  <c r="N90" i="3"/>
  <c r="M94" i="3"/>
  <c r="L97" i="3"/>
  <c r="K100" i="3"/>
  <c r="J103" i="3"/>
  <c r="I106" i="3"/>
  <c r="G111" i="3"/>
  <c r="G112" i="3"/>
  <c r="F115" i="3"/>
  <c r="O118" i="3"/>
  <c r="N121" i="3"/>
  <c r="M124" i="3"/>
  <c r="L127" i="3"/>
  <c r="L128" i="3"/>
  <c r="K131" i="3"/>
  <c r="J134" i="3"/>
  <c r="I137" i="3"/>
  <c r="H140" i="3"/>
  <c r="F146" i="3"/>
  <c r="I149" i="3"/>
  <c r="H151" i="3"/>
  <c r="L152" i="3"/>
  <c r="N153" i="3"/>
  <c r="O20" i="3"/>
  <c r="F35" i="3"/>
  <c r="O41" i="3"/>
  <c r="J45" i="3"/>
  <c r="J53" i="3"/>
  <c r="I57" i="3"/>
  <c r="G60" i="3"/>
  <c r="F64" i="3"/>
  <c r="H69" i="3"/>
  <c r="N71" i="3"/>
  <c r="F77" i="3"/>
  <c r="O80" i="3"/>
  <c r="N84" i="3"/>
  <c r="E86" i="3"/>
  <c r="N89" i="3"/>
  <c r="M92" i="3"/>
  <c r="L95" i="3"/>
  <c r="K98" i="3"/>
  <c r="J101" i="3"/>
  <c r="I104" i="3"/>
  <c r="H108" i="3"/>
  <c r="H109" i="3"/>
  <c r="F113" i="3"/>
  <c r="E116" i="3"/>
  <c r="E118" i="3"/>
  <c r="O120" i="3"/>
  <c r="N123" i="3"/>
  <c r="M126" i="3"/>
  <c r="K130" i="3"/>
  <c r="J133" i="3"/>
  <c r="J135" i="3"/>
  <c r="I138" i="3"/>
  <c r="H141" i="3"/>
  <c r="G144" i="3"/>
  <c r="F147" i="3"/>
  <c r="M148" i="3"/>
  <c r="M150" i="3"/>
  <c r="O198" i="3"/>
  <c r="F194" i="3"/>
  <c r="H188" i="3"/>
  <c r="J180" i="3"/>
  <c r="K178" i="3"/>
  <c r="M172" i="3"/>
  <c r="N168" i="3"/>
  <c r="H164" i="3"/>
  <c r="F159" i="3"/>
  <c r="H202" i="3"/>
  <c r="I200" i="3"/>
  <c r="J196" i="3"/>
  <c r="K193" i="3"/>
  <c r="L191" i="3"/>
  <c r="M187" i="3"/>
  <c r="O183" i="3"/>
  <c r="E180" i="3"/>
  <c r="G174" i="3"/>
  <c r="H170" i="3"/>
  <c r="E161" i="3"/>
  <c r="N200" i="3"/>
  <c r="O196" i="3"/>
  <c r="F192" i="3"/>
  <c r="H186" i="3"/>
  <c r="J182" i="3"/>
  <c r="L176" i="3"/>
  <c r="N170" i="3"/>
  <c r="N166" i="3"/>
  <c r="L161" i="3"/>
  <c r="K156" i="3"/>
  <c r="I198" i="3"/>
  <c r="M189" i="3"/>
  <c r="N185" i="3"/>
  <c r="O181" i="3"/>
  <c r="F178" i="3"/>
  <c r="F176" i="3"/>
  <c r="H172" i="3"/>
  <c r="I168" i="3"/>
  <c r="G166" i="3"/>
  <c r="K163" i="3"/>
  <c r="J158" i="3"/>
  <c r="N155" i="3"/>
  <c r="N201" i="3"/>
  <c r="N199" i="3"/>
  <c r="O197" i="3"/>
  <c r="E196" i="3"/>
  <c r="F193" i="3"/>
  <c r="G191" i="3"/>
  <c r="G189" i="3"/>
  <c r="H187" i="3"/>
  <c r="I185" i="3"/>
  <c r="I183" i="3"/>
  <c r="J181" i="3"/>
  <c r="K179" i="3"/>
  <c r="K177" i="3"/>
  <c r="L175" i="3"/>
  <c r="M173" i="3"/>
  <c r="M171" i="3"/>
  <c r="N169" i="3"/>
  <c r="O167" i="3"/>
  <c r="J165" i="3"/>
  <c r="O162" i="3"/>
  <c r="I160" i="3"/>
  <c r="M157" i="3"/>
  <c r="G155" i="3"/>
  <c r="M202" i="3"/>
  <c r="E195" i="3"/>
  <c r="G190" i="3"/>
  <c r="I184" i="3"/>
  <c r="L174" i="3"/>
  <c r="H201" i="3"/>
  <c r="I199" i="3"/>
  <c r="J197" i="3"/>
  <c r="J195" i="3"/>
  <c r="K194" i="3"/>
  <c r="L192" i="3"/>
  <c r="L190" i="3"/>
  <c r="M188" i="3"/>
  <c r="N186" i="3"/>
  <c r="N184" i="3"/>
  <c r="O182" i="3"/>
  <c r="E181" i="3"/>
  <c r="E179" i="3"/>
  <c r="F177" i="3"/>
  <c r="G175" i="3"/>
  <c r="G173" i="3"/>
  <c r="H171" i="3"/>
  <c r="I169" i="3"/>
  <c r="I167" i="3"/>
  <c r="O164" i="3"/>
  <c r="I162" i="3"/>
  <c r="L159" i="3"/>
  <c r="F157" i="3"/>
  <c r="K154" i="3"/>
  <c r="L202" i="3"/>
  <c r="L201" i="3"/>
  <c r="M200" i="3"/>
  <c r="M199" i="3"/>
  <c r="M198" i="3"/>
  <c r="N197" i="3"/>
  <c r="N196" i="3"/>
  <c r="N195" i="3"/>
  <c r="O194" i="3"/>
  <c r="O193" i="3"/>
  <c r="E193" i="3"/>
  <c r="E192" i="3"/>
  <c r="E191" i="3"/>
  <c r="F190" i="3"/>
  <c r="F189" i="3"/>
  <c r="F188" i="3"/>
  <c r="G187" i="3"/>
  <c r="G186" i="3"/>
  <c r="G185" i="3"/>
  <c r="H184" i="3"/>
  <c r="H183" i="3"/>
  <c r="H182" i="3"/>
  <c r="N180" i="3"/>
  <c r="O177" i="3"/>
  <c r="G202" i="3"/>
  <c r="G201" i="3"/>
  <c r="G200" i="3"/>
  <c r="H199" i="3"/>
  <c r="H198" i="3"/>
  <c r="H197" i="3"/>
  <c r="I196" i="3"/>
  <c r="I195" i="3"/>
  <c r="J194" i="3"/>
  <c r="J193" i="3"/>
  <c r="J192" i="3"/>
  <c r="K191" i="3"/>
  <c r="K190" i="3"/>
  <c r="K189" i="3"/>
  <c r="L188" i="3"/>
  <c r="L187" i="3"/>
  <c r="L186" i="3"/>
  <c r="M185" i="3"/>
  <c r="M184" i="3"/>
  <c r="M183" i="3"/>
  <c r="N182" i="3"/>
  <c r="N181" i="3"/>
  <c r="I181" i="3"/>
  <c r="I180" i="3"/>
  <c r="O179" i="3"/>
  <c r="I179" i="3"/>
  <c r="O178" i="3"/>
  <c r="J178" i="3"/>
  <c r="J177" i="3"/>
  <c r="E177" i="3"/>
  <c r="J176" i="3"/>
  <c r="E176" i="3"/>
  <c r="K175" i="3"/>
  <c r="E175" i="3"/>
  <c r="K174" i="3"/>
  <c r="F174" i="3"/>
  <c r="K173" i="3"/>
  <c r="F173" i="3"/>
  <c r="L172" i="3"/>
  <c r="F172" i="3"/>
  <c r="L171" i="3"/>
  <c r="G171" i="3"/>
  <c r="L170" i="3"/>
  <c r="G170" i="3"/>
  <c r="M169" i="3"/>
  <c r="G169" i="3"/>
  <c r="M168" i="3"/>
  <c r="H168" i="3"/>
  <c r="M167" i="3"/>
  <c r="H167" i="3"/>
  <c r="M166" i="3"/>
  <c r="E166" i="3"/>
  <c r="I165" i="3"/>
  <c r="M164" i="3"/>
  <c r="E164" i="3"/>
  <c r="J163" i="3"/>
  <c r="N162" i="3"/>
  <c r="F162" i="3"/>
  <c r="J161" i="3"/>
  <c r="O160" i="3"/>
  <c r="G160" i="3"/>
  <c r="K159" i="3"/>
  <c r="O158" i="3"/>
  <c r="G158" i="3"/>
  <c r="L157" i="3"/>
  <c r="E157" i="3"/>
  <c r="H156" i="3"/>
  <c r="L155" i="3"/>
  <c r="F155" i="3"/>
  <c r="I154" i="3"/>
  <c r="M153" i="3"/>
  <c r="F153" i="3"/>
  <c r="I152" i="3"/>
  <c r="N151" i="3"/>
  <c r="G151" i="3"/>
  <c r="J150" i="3"/>
  <c r="N149" i="3"/>
  <c r="H149" i="3"/>
  <c r="K148" i="3"/>
  <c r="O147" i="3"/>
  <c r="O146" i="3"/>
  <c r="E146" i="3"/>
  <c r="E145" i="3"/>
  <c r="E144" i="3"/>
  <c r="F143" i="3"/>
  <c r="F142" i="3"/>
  <c r="F141" i="3"/>
  <c r="G140" i="3"/>
  <c r="G139" i="3"/>
  <c r="G138" i="3"/>
  <c r="H137" i="3"/>
  <c r="H136" i="3"/>
  <c r="H135" i="3"/>
  <c r="I134" i="3"/>
  <c r="I133" i="3"/>
  <c r="I132" i="3"/>
  <c r="J131" i="3"/>
  <c r="J130" i="3"/>
  <c r="J129" i="3"/>
  <c r="K128" i="3"/>
  <c r="K127" i="3"/>
  <c r="K126" i="3"/>
  <c r="L125" i="3"/>
  <c r="L124" i="3"/>
  <c r="L123" i="3"/>
  <c r="M122" i="3"/>
  <c r="M121" i="3"/>
  <c r="M120" i="3"/>
  <c r="N119" i="3"/>
  <c r="N118" i="3"/>
  <c r="N117" i="3"/>
  <c r="O116" i="3"/>
  <c r="O115" i="3"/>
  <c r="O114" i="3"/>
  <c r="E114" i="3"/>
  <c r="E113" i="3"/>
  <c r="E112" i="3"/>
  <c r="F111" i="3"/>
  <c r="F110" i="3"/>
  <c r="F109" i="3"/>
  <c r="G108" i="3"/>
  <c r="G107" i="3"/>
  <c r="G106" i="3"/>
  <c r="H105" i="3"/>
  <c r="H104" i="3"/>
  <c r="H103" i="3"/>
  <c r="I102" i="3"/>
  <c r="I101" i="3"/>
  <c r="I100" i="3"/>
  <c r="J99" i="3"/>
  <c r="J98" i="3"/>
  <c r="J97" i="3"/>
  <c r="K96" i="3"/>
  <c r="K95" i="3"/>
  <c r="K94" i="3"/>
  <c r="L93" i="3"/>
  <c r="L92" i="3"/>
  <c r="L91" i="3"/>
  <c r="M90" i="3"/>
  <c r="M89" i="3"/>
  <c r="J88" i="3"/>
  <c r="H87" i="3"/>
  <c r="O85" i="3"/>
  <c r="K84" i="3"/>
  <c r="I83" i="3"/>
  <c r="E82" i="3"/>
  <c r="M80" i="3"/>
  <c r="J79" i="3"/>
  <c r="G78" i="3"/>
  <c r="N76" i="3"/>
  <c r="L75" i="3"/>
  <c r="H74" i="3"/>
  <c r="O72" i="3"/>
  <c r="M71" i="3"/>
  <c r="I70" i="3"/>
  <c r="F69" i="3"/>
  <c r="N67" i="3"/>
  <c r="K66" i="3"/>
  <c r="G65" i="3"/>
  <c r="E64" i="3"/>
  <c r="L62" i="3"/>
  <c r="H61" i="3"/>
  <c r="F60" i="3"/>
  <c r="M59" i="3"/>
  <c r="J58" i="3"/>
  <c r="G57" i="3"/>
  <c r="O55" i="3"/>
  <c r="K54" i="3"/>
  <c r="I53" i="3"/>
  <c r="E52" i="3"/>
  <c r="H50" i="3"/>
  <c r="M48" i="3"/>
  <c r="O46" i="3"/>
  <c r="G45" i="3"/>
  <c r="J43" i="3"/>
  <c r="N41" i="3"/>
  <c r="E40" i="3"/>
  <c r="I38" i="3"/>
  <c r="K36" i="3"/>
  <c r="M34" i="3"/>
  <c r="G33" i="3"/>
  <c r="O30" i="3"/>
  <c r="J27" i="3"/>
  <c r="G24" i="3"/>
  <c r="M20" i="3"/>
  <c r="F15" i="3"/>
  <c r="O8" i="3"/>
  <c r="K202" i="3"/>
  <c r="E202" i="3"/>
  <c r="K201" i="3"/>
  <c r="F201" i="3"/>
  <c r="K200" i="3"/>
  <c r="F200" i="3"/>
  <c r="L199" i="3"/>
  <c r="F199" i="3"/>
  <c r="L198" i="3"/>
  <c r="G198" i="3"/>
  <c r="L197" i="3"/>
  <c r="G197" i="3"/>
  <c r="M196" i="3"/>
  <c r="G196" i="3"/>
  <c r="M195" i="3"/>
  <c r="H195" i="3"/>
  <c r="N194" i="3"/>
  <c r="H194" i="3"/>
  <c r="N193" i="3"/>
  <c r="I193" i="3"/>
  <c r="N192" i="3"/>
  <c r="I192" i="3"/>
  <c r="O191" i="3"/>
  <c r="I191" i="3"/>
  <c r="O190" i="3"/>
  <c r="J190" i="3"/>
  <c r="O189" i="3"/>
  <c r="J189" i="3"/>
  <c r="E189" i="3"/>
  <c r="J188" i="3"/>
  <c r="E188" i="3"/>
  <c r="K187" i="3"/>
  <c r="E187" i="3"/>
  <c r="K186" i="3"/>
  <c r="F186" i="3"/>
  <c r="K185" i="3"/>
  <c r="F185" i="3"/>
  <c r="L184" i="3"/>
  <c r="F184" i="3"/>
  <c r="L183" i="3"/>
  <c r="G183" i="3"/>
  <c r="L182" i="3"/>
  <c r="G182" i="3"/>
  <c r="M181" i="3"/>
  <c r="G181" i="3"/>
  <c r="M180" i="3"/>
  <c r="H180" i="3"/>
  <c r="M179" i="3"/>
  <c r="H179" i="3"/>
  <c r="N178" i="3"/>
  <c r="H178" i="3"/>
  <c r="N177" i="3"/>
  <c r="I177" i="3"/>
  <c r="N176" i="3"/>
  <c r="I176" i="3"/>
  <c r="O175" i="3"/>
  <c r="I175" i="3"/>
  <c r="O174" i="3"/>
  <c r="J174" i="3"/>
  <c r="O173" i="3"/>
  <c r="J173" i="3"/>
  <c r="E173" i="3"/>
  <c r="J172" i="3"/>
  <c r="E172" i="3"/>
  <c r="K171" i="3"/>
  <c r="E171" i="3"/>
  <c r="K170" i="3"/>
  <c r="F170" i="3"/>
  <c r="K169" i="3"/>
  <c r="F169" i="3"/>
  <c r="L168" i="3"/>
  <c r="F168" i="3"/>
  <c r="L167" i="3"/>
  <c r="G167" i="3"/>
  <c r="J166" i="3"/>
  <c r="N165" i="3"/>
  <c r="H165" i="3"/>
  <c r="K164" i="3"/>
  <c r="O163" i="3"/>
  <c r="H163" i="3"/>
  <c r="K162" i="3"/>
  <c r="E162" i="3"/>
  <c r="I161" i="3"/>
  <c r="L160" i="3"/>
  <c r="E160" i="3"/>
  <c r="J159" i="3"/>
  <c r="M158" i="3"/>
  <c r="F158" i="3"/>
  <c r="J157" i="3"/>
  <c r="M156" i="3"/>
  <c r="G156" i="3"/>
  <c r="K155" i="3"/>
  <c r="N154" i="3"/>
  <c r="G154" i="3"/>
  <c r="L153" i="3"/>
  <c r="O152" i="3"/>
  <c r="H152" i="3"/>
  <c r="L151" i="3"/>
  <c r="O150" i="3"/>
  <c r="I150" i="3"/>
  <c r="M149" i="3"/>
  <c r="E149" i="3"/>
  <c r="I148" i="3"/>
  <c r="K147" i="3"/>
  <c r="K146" i="3"/>
  <c r="L145" i="3"/>
  <c r="L144" i="3"/>
  <c r="L143" i="3"/>
  <c r="M142" i="3"/>
  <c r="M141" i="3"/>
  <c r="M140" i="3"/>
  <c r="N139" i="3"/>
  <c r="N138" i="3"/>
  <c r="N137" i="3"/>
  <c r="O136" i="3"/>
  <c r="O135" i="3"/>
  <c r="O134" i="3"/>
  <c r="E134" i="3"/>
  <c r="E133" i="3"/>
  <c r="E132" i="3"/>
  <c r="F131" i="3"/>
  <c r="F130" i="3"/>
  <c r="F129" i="3"/>
  <c r="G128" i="3"/>
  <c r="G127" i="3"/>
  <c r="G126" i="3"/>
  <c r="H125" i="3"/>
  <c r="H124" i="3"/>
  <c r="H123" i="3"/>
  <c r="I122" i="3"/>
  <c r="I121" i="3"/>
  <c r="I120" i="3"/>
  <c r="J119" i="3"/>
  <c r="J118" i="3"/>
  <c r="J117" i="3"/>
  <c r="K116" i="3"/>
  <c r="K115" i="3"/>
  <c r="K114" i="3"/>
  <c r="L113" i="3"/>
  <c r="L112" i="3"/>
  <c r="L111" i="3"/>
  <c r="M110" i="3"/>
  <c r="M109" i="3"/>
  <c r="M108" i="3"/>
  <c r="N107" i="3"/>
  <c r="N106" i="3"/>
  <c r="N105" i="3"/>
  <c r="O104" i="3"/>
  <c r="O103" i="3"/>
  <c r="O102" i="3"/>
  <c r="E102" i="3"/>
  <c r="E101" i="3"/>
  <c r="E100" i="3"/>
  <c r="F99" i="3"/>
  <c r="F98" i="3"/>
  <c r="F97" i="3"/>
  <c r="G96" i="3"/>
  <c r="G95" i="3"/>
  <c r="G94" i="3"/>
  <c r="H93" i="3"/>
  <c r="H92" i="3"/>
  <c r="H91" i="3"/>
  <c r="I90" i="3"/>
  <c r="H89" i="3"/>
  <c r="E88" i="3"/>
  <c r="M86" i="3"/>
  <c r="J85" i="3"/>
  <c r="F84" i="3"/>
  <c r="O82" i="3"/>
  <c r="K81" i="3"/>
  <c r="G80" i="3"/>
  <c r="E79" i="3"/>
  <c r="L77" i="3"/>
  <c r="I76" i="3"/>
  <c r="F75" i="3"/>
  <c r="N73" i="3"/>
  <c r="J72" i="3"/>
  <c r="H71" i="3"/>
  <c r="O69" i="3"/>
  <c r="K68" i="3"/>
  <c r="I67" i="3"/>
  <c r="E66" i="3"/>
  <c r="M64" i="3"/>
  <c r="J63" i="3"/>
  <c r="G62" i="3"/>
  <c r="N60" i="3"/>
  <c r="H59" i="3"/>
  <c r="O57" i="3"/>
  <c r="M56" i="3"/>
  <c r="I55" i="3"/>
  <c r="F54" i="3"/>
  <c r="N52" i="3"/>
  <c r="J51" i="3"/>
  <c r="L49" i="3"/>
  <c r="F48" i="3"/>
  <c r="H46" i="3"/>
  <c r="J44" i="3"/>
  <c r="O42" i="3"/>
  <c r="F41" i="3"/>
  <c r="I39" i="3"/>
  <c r="L37" i="3"/>
  <c r="E36" i="3"/>
  <c r="G34" i="3"/>
  <c r="K32" i="3"/>
  <c r="L29" i="3"/>
  <c r="E26" i="3"/>
  <c r="O22" i="3"/>
  <c r="H19" i="3"/>
  <c r="K12" i="3"/>
  <c r="I2" i="3"/>
  <c r="M2" i="3"/>
  <c r="F3" i="3"/>
  <c r="J3" i="3"/>
  <c r="N3" i="3"/>
  <c r="G4" i="3"/>
  <c r="K4" i="3"/>
  <c r="O4" i="3"/>
  <c r="H5" i="3"/>
  <c r="L5" i="3"/>
  <c r="E6" i="3"/>
  <c r="I6" i="3"/>
  <c r="M6" i="3"/>
  <c r="G7" i="3"/>
  <c r="K7" i="3"/>
  <c r="O7" i="3"/>
  <c r="H8" i="3"/>
  <c r="L8" i="3"/>
  <c r="E9" i="3"/>
  <c r="I9" i="3"/>
  <c r="M9" i="3"/>
  <c r="F10" i="3"/>
  <c r="J10" i="3"/>
  <c r="N10" i="3"/>
  <c r="G11" i="3"/>
  <c r="K11" i="3"/>
  <c r="O11" i="3"/>
  <c r="H12" i="3"/>
  <c r="L12" i="3"/>
  <c r="E13" i="3"/>
  <c r="I13" i="3"/>
  <c r="M13" i="3"/>
  <c r="F14" i="3"/>
  <c r="J14" i="3"/>
  <c r="N14" i="3"/>
  <c r="G15" i="3"/>
  <c r="K15" i="3"/>
  <c r="O15" i="3"/>
  <c r="H16" i="3"/>
  <c r="L16" i="3"/>
  <c r="E17" i="3"/>
  <c r="I17" i="3"/>
  <c r="M17" i="3"/>
  <c r="F18" i="3"/>
  <c r="J18" i="3"/>
  <c r="N18" i="3"/>
  <c r="G19" i="3"/>
  <c r="K19" i="3"/>
  <c r="O19" i="3"/>
  <c r="H20" i="3"/>
  <c r="L20" i="3"/>
  <c r="E21" i="3"/>
  <c r="I21" i="3"/>
  <c r="M21" i="3"/>
  <c r="F22" i="3"/>
  <c r="J22" i="3"/>
  <c r="N22" i="3"/>
  <c r="G23" i="3"/>
  <c r="K23" i="3"/>
  <c r="O23" i="3"/>
  <c r="H24" i="3"/>
  <c r="L24" i="3"/>
  <c r="E25" i="3"/>
  <c r="I25" i="3"/>
  <c r="M25" i="3"/>
  <c r="F26" i="3"/>
  <c r="J26" i="3"/>
  <c r="N26" i="3"/>
  <c r="G27" i="3"/>
  <c r="K27" i="3"/>
  <c r="O27" i="3"/>
  <c r="H28" i="3"/>
  <c r="L28" i="3"/>
  <c r="E29" i="3"/>
  <c r="I29" i="3"/>
  <c r="M29" i="3"/>
  <c r="F30" i="3"/>
  <c r="J30" i="3"/>
  <c r="N30" i="3"/>
  <c r="G31" i="3"/>
  <c r="K31" i="3"/>
  <c r="F2" i="3"/>
  <c r="J2" i="3"/>
  <c r="N2" i="3"/>
  <c r="G3" i="3"/>
  <c r="K3" i="3"/>
  <c r="O3" i="3"/>
  <c r="H4" i="3"/>
  <c r="L4" i="3"/>
  <c r="E5" i="3"/>
  <c r="I5" i="3"/>
  <c r="M5" i="3"/>
  <c r="F6" i="3"/>
  <c r="J6" i="3"/>
  <c r="N6" i="3"/>
  <c r="H7" i="3"/>
  <c r="L7" i="3"/>
  <c r="E8" i="3"/>
  <c r="I8" i="3"/>
  <c r="M8" i="3"/>
  <c r="F9" i="3"/>
  <c r="J9" i="3"/>
  <c r="N9" i="3"/>
  <c r="G10" i="3"/>
  <c r="K10" i="3"/>
  <c r="O10" i="3"/>
  <c r="H11" i="3"/>
  <c r="L11" i="3"/>
  <c r="E12" i="3"/>
  <c r="I12" i="3"/>
  <c r="M12" i="3"/>
  <c r="F13" i="3"/>
  <c r="J13" i="3"/>
  <c r="N13" i="3"/>
  <c r="G14" i="3"/>
  <c r="K14" i="3"/>
  <c r="O14" i="3"/>
  <c r="H15" i="3"/>
  <c r="L15" i="3"/>
  <c r="E16" i="3"/>
  <c r="I16" i="3"/>
  <c r="M16" i="3"/>
  <c r="F17" i="3"/>
  <c r="J17" i="3"/>
  <c r="N17" i="3"/>
  <c r="G18" i="3"/>
  <c r="K18" i="3"/>
  <c r="O18" i="3"/>
  <c r="G2" i="3"/>
  <c r="K2" i="3"/>
  <c r="O2" i="3"/>
  <c r="H3" i="3"/>
  <c r="L3" i="3"/>
  <c r="E4" i="3"/>
  <c r="I4" i="3"/>
  <c r="M4" i="3"/>
  <c r="F5" i="3"/>
  <c r="J5" i="3"/>
  <c r="N5" i="3"/>
  <c r="G6" i="3"/>
  <c r="K6" i="3"/>
  <c r="O6" i="3"/>
  <c r="E7" i="3"/>
  <c r="I7" i="3"/>
  <c r="M7" i="3"/>
  <c r="F8" i="3"/>
  <c r="J8" i="3"/>
  <c r="N8" i="3"/>
  <c r="G9" i="3"/>
  <c r="K9" i="3"/>
  <c r="O9" i="3"/>
  <c r="H10" i="3"/>
  <c r="L10" i="3"/>
  <c r="E11" i="3"/>
  <c r="I11" i="3"/>
  <c r="M11" i="3"/>
  <c r="F12" i="3"/>
  <c r="J12" i="3"/>
  <c r="N12" i="3"/>
  <c r="G13" i="3"/>
  <c r="K13" i="3"/>
  <c r="O13" i="3"/>
  <c r="H14" i="3"/>
  <c r="L14" i="3"/>
  <c r="E15" i="3"/>
  <c r="I15" i="3"/>
  <c r="M15" i="3"/>
  <c r="F16" i="3"/>
  <c r="J16" i="3"/>
  <c r="N16" i="3"/>
  <c r="G17" i="3"/>
  <c r="K17" i="3"/>
  <c r="O17" i="3"/>
  <c r="H18" i="3"/>
  <c r="L18" i="3"/>
  <c r="E19" i="3"/>
  <c r="I19" i="3"/>
  <c r="M19" i="3"/>
  <c r="F20" i="3"/>
  <c r="J20" i="3"/>
  <c r="N20" i="3"/>
  <c r="G21" i="3"/>
  <c r="K21" i="3"/>
  <c r="O21" i="3"/>
  <c r="H22" i="3"/>
  <c r="L22" i="3"/>
  <c r="E23" i="3"/>
  <c r="I23" i="3"/>
  <c r="M23" i="3"/>
  <c r="F24" i="3"/>
  <c r="J24" i="3"/>
  <c r="N24" i="3"/>
  <c r="G25" i="3"/>
  <c r="K25" i="3"/>
  <c r="O25" i="3"/>
  <c r="H26" i="3"/>
  <c r="L26" i="3"/>
  <c r="E27" i="3"/>
  <c r="I27" i="3"/>
  <c r="M27" i="3"/>
  <c r="F28" i="3"/>
  <c r="J28" i="3"/>
  <c r="N28" i="3"/>
  <c r="G29" i="3"/>
  <c r="K29" i="3"/>
  <c r="O29" i="3"/>
  <c r="H30" i="3"/>
  <c r="L30" i="3"/>
  <c r="E31" i="3"/>
  <c r="I31" i="3"/>
  <c r="M31" i="3"/>
  <c r="H2" i="3"/>
  <c r="M3" i="3"/>
  <c r="G5" i="3"/>
  <c r="L6" i="3"/>
  <c r="F7" i="3"/>
  <c r="K8" i="3"/>
  <c r="E10" i="3"/>
  <c r="J11" i="3"/>
  <c r="O12" i="3"/>
  <c r="I14" i="3"/>
  <c r="N15" i="3"/>
  <c r="H17" i="3"/>
  <c r="M18" i="3"/>
  <c r="L19" i="3"/>
  <c r="I20" i="3"/>
  <c r="F21" i="3"/>
  <c r="N21" i="3"/>
  <c r="K22" i="3"/>
  <c r="H23" i="3"/>
  <c r="E24" i="3"/>
  <c r="M24" i="3"/>
  <c r="J25" i="3"/>
  <c r="G26" i="3"/>
  <c r="O26" i="3"/>
  <c r="L27" i="3"/>
  <c r="I28" i="3"/>
  <c r="F29" i="3"/>
  <c r="N29" i="3"/>
  <c r="K30" i="3"/>
  <c r="H31" i="3"/>
  <c r="O31" i="3"/>
  <c r="H32" i="3"/>
  <c r="L32" i="3"/>
  <c r="E33" i="3"/>
  <c r="I33" i="3"/>
  <c r="M33" i="3"/>
  <c r="F34" i="3"/>
  <c r="J34" i="3"/>
  <c r="N34" i="3"/>
  <c r="G35" i="3"/>
  <c r="K35" i="3"/>
  <c r="O35" i="3"/>
  <c r="H36" i="3"/>
  <c r="L36" i="3"/>
  <c r="E37" i="3"/>
  <c r="I37" i="3"/>
  <c r="M37" i="3"/>
  <c r="F38" i="3"/>
  <c r="J38" i="3"/>
  <c r="N38" i="3"/>
  <c r="G39" i="3"/>
  <c r="K39" i="3"/>
  <c r="O39" i="3"/>
  <c r="H40" i="3"/>
  <c r="L40" i="3"/>
  <c r="E41" i="3"/>
  <c r="I41" i="3"/>
  <c r="M41" i="3"/>
  <c r="F42" i="3"/>
  <c r="J42" i="3"/>
  <c r="N42" i="3"/>
  <c r="G43" i="3"/>
  <c r="K43" i="3"/>
  <c r="O43" i="3"/>
  <c r="H44" i="3"/>
  <c r="L44" i="3"/>
  <c r="E45" i="3"/>
  <c r="I45" i="3"/>
  <c r="M45" i="3"/>
  <c r="F46" i="3"/>
  <c r="J46" i="3"/>
  <c r="N46" i="3"/>
  <c r="G47" i="3"/>
  <c r="K47" i="3"/>
  <c r="O47" i="3"/>
  <c r="H48" i="3"/>
  <c r="L48" i="3"/>
  <c r="E49" i="3"/>
  <c r="I49" i="3"/>
  <c r="M49" i="3"/>
  <c r="F50" i="3"/>
  <c r="J50" i="3"/>
  <c r="N50" i="3"/>
  <c r="G51" i="3"/>
  <c r="K51" i="3"/>
  <c r="L2" i="3"/>
  <c r="F4" i="3"/>
  <c r="E3" i="3"/>
  <c r="K5" i="3"/>
  <c r="G8" i="3"/>
  <c r="I10" i="3"/>
  <c r="G12" i="3"/>
  <c r="E14" i="3"/>
  <c r="G16" i="3"/>
  <c r="E18" i="3"/>
  <c r="J19" i="3"/>
  <c r="K20" i="3"/>
  <c r="J21" i="3"/>
  <c r="I22" i="3"/>
  <c r="J23" i="3"/>
  <c r="I24" i="3"/>
  <c r="H25" i="3"/>
  <c r="I26" i="3"/>
  <c r="H27" i="3"/>
  <c r="G28" i="3"/>
  <c r="H29" i="3"/>
  <c r="G30" i="3"/>
  <c r="F31" i="3"/>
  <c r="E32" i="3"/>
  <c r="J32" i="3"/>
  <c r="O32" i="3"/>
  <c r="J33" i="3"/>
  <c r="O33" i="3"/>
  <c r="I34" i="3"/>
  <c r="O34" i="3"/>
  <c r="I35" i="3"/>
  <c r="N35" i="3"/>
  <c r="I36" i="3"/>
  <c r="N36" i="3"/>
  <c r="H37" i="3"/>
  <c r="N37" i="3"/>
  <c r="H38" i="3"/>
  <c r="M38" i="3"/>
  <c r="H39" i="3"/>
  <c r="M39" i="3"/>
  <c r="G40" i="3"/>
  <c r="M40" i="3"/>
  <c r="G41" i="3"/>
  <c r="L41" i="3"/>
  <c r="G42" i="3"/>
  <c r="L42" i="3"/>
  <c r="F43" i="3"/>
  <c r="L43" i="3"/>
  <c r="F44" i="3"/>
  <c r="K44" i="3"/>
  <c r="F45" i="3"/>
  <c r="K45" i="3"/>
  <c r="E46" i="3"/>
  <c r="K46" i="3"/>
  <c r="E47" i="3"/>
  <c r="J47" i="3"/>
  <c r="E48" i="3"/>
  <c r="J48" i="3"/>
  <c r="O48" i="3"/>
  <c r="J49" i="3"/>
  <c r="O49" i="3"/>
  <c r="I50" i="3"/>
  <c r="O50" i="3"/>
  <c r="I51" i="3"/>
  <c r="N51" i="3"/>
  <c r="G52" i="3"/>
  <c r="K52" i="3"/>
  <c r="O52" i="3"/>
  <c r="H53" i="3"/>
  <c r="L53" i="3"/>
  <c r="E54" i="3"/>
  <c r="I54" i="3"/>
  <c r="M54" i="3"/>
  <c r="F55" i="3"/>
  <c r="J55" i="3"/>
  <c r="N55" i="3"/>
  <c r="G56" i="3"/>
  <c r="K56" i="3"/>
  <c r="O56" i="3"/>
  <c r="H57" i="3"/>
  <c r="L57" i="3"/>
  <c r="E58" i="3"/>
  <c r="I58" i="3"/>
  <c r="M58" i="3"/>
  <c r="F59" i="3"/>
  <c r="J59" i="3"/>
  <c r="N59" i="3"/>
  <c r="H60" i="3"/>
  <c r="L60" i="3"/>
  <c r="E61" i="3"/>
  <c r="I61" i="3"/>
  <c r="M61" i="3"/>
  <c r="F62" i="3"/>
  <c r="J62" i="3"/>
  <c r="N62" i="3"/>
  <c r="G63" i="3"/>
  <c r="K63" i="3"/>
  <c r="O63" i="3"/>
  <c r="H64" i="3"/>
  <c r="L64" i="3"/>
  <c r="E65" i="3"/>
  <c r="I65" i="3"/>
  <c r="M65" i="3"/>
  <c r="F66" i="3"/>
  <c r="J66" i="3"/>
  <c r="N66" i="3"/>
  <c r="G67" i="3"/>
  <c r="K67" i="3"/>
  <c r="O67" i="3"/>
  <c r="H68" i="3"/>
  <c r="L68" i="3"/>
  <c r="E69" i="3"/>
  <c r="I69" i="3"/>
  <c r="M69" i="3"/>
  <c r="F70" i="3"/>
  <c r="J70" i="3"/>
  <c r="N70" i="3"/>
  <c r="G71" i="3"/>
  <c r="K71" i="3"/>
  <c r="O71" i="3"/>
  <c r="H72" i="3"/>
  <c r="L72" i="3"/>
  <c r="E73" i="3"/>
  <c r="I73" i="3"/>
  <c r="M73" i="3"/>
  <c r="F74" i="3"/>
  <c r="J74" i="3"/>
  <c r="N74" i="3"/>
  <c r="G75" i="3"/>
  <c r="K75" i="3"/>
  <c r="O75" i="3"/>
  <c r="H76" i="3"/>
  <c r="L76" i="3"/>
  <c r="E77" i="3"/>
  <c r="I77" i="3"/>
  <c r="M77" i="3"/>
  <c r="F78" i="3"/>
  <c r="J78" i="3"/>
  <c r="N78" i="3"/>
  <c r="G79" i="3"/>
  <c r="K79" i="3"/>
  <c r="O79" i="3"/>
  <c r="H80" i="3"/>
  <c r="L80" i="3"/>
  <c r="E81" i="3"/>
  <c r="I81" i="3"/>
  <c r="M81" i="3"/>
  <c r="F82" i="3"/>
  <c r="J82" i="3"/>
  <c r="N82" i="3"/>
  <c r="G83" i="3"/>
  <c r="K83" i="3"/>
  <c r="O83" i="3"/>
  <c r="H84" i="3"/>
  <c r="L84" i="3"/>
  <c r="E85" i="3"/>
  <c r="I85" i="3"/>
  <c r="M85" i="3"/>
  <c r="F86" i="3"/>
  <c r="J86" i="3"/>
  <c r="N86" i="3"/>
  <c r="G87" i="3"/>
  <c r="K87" i="3"/>
  <c r="O87" i="3"/>
  <c r="H88" i="3"/>
  <c r="L88" i="3"/>
  <c r="E89" i="3"/>
  <c r="I89" i="3"/>
  <c r="I3" i="3"/>
  <c r="H6" i="3"/>
  <c r="N7" i="3"/>
  <c r="M10" i="3"/>
  <c r="H13" i="3"/>
  <c r="J15" i="3"/>
  <c r="I18" i="3"/>
  <c r="E20" i="3"/>
  <c r="H21" i="3"/>
  <c r="M22" i="3"/>
  <c r="N23" i="3"/>
  <c r="F25" i="3"/>
  <c r="K26" i="3"/>
  <c r="N27" i="3"/>
  <c r="O28" i="3"/>
  <c r="I30" i="3"/>
  <c r="L31" i="3"/>
  <c r="I32" i="3"/>
  <c r="F33" i="3"/>
  <c r="L33" i="3"/>
  <c r="H34" i="3"/>
  <c r="E35" i="3"/>
  <c r="L35" i="3"/>
  <c r="G36" i="3"/>
  <c r="O36" i="3"/>
  <c r="K37" i="3"/>
  <c r="G38" i="3"/>
  <c r="O38" i="3"/>
  <c r="J39" i="3"/>
  <c r="F40" i="3"/>
  <c r="N40" i="3"/>
  <c r="J41" i="3"/>
  <c r="E42" i="3"/>
  <c r="M42" i="3"/>
  <c r="I43" i="3"/>
  <c r="E44" i="3"/>
  <c r="M44" i="3"/>
  <c r="H45" i="3"/>
  <c r="O45" i="3"/>
  <c r="L46" i="3"/>
  <c r="H47" i="3"/>
  <c r="N47" i="3"/>
  <c r="K48" i="3"/>
  <c r="G49" i="3"/>
  <c r="N49" i="3"/>
  <c r="K50" i="3"/>
  <c r="F51" i="3"/>
  <c r="M51" i="3"/>
  <c r="H52" i="3"/>
  <c r="M52" i="3"/>
  <c r="G53" i="3"/>
  <c r="M53" i="3"/>
  <c r="G54" i="3"/>
  <c r="L54" i="3"/>
  <c r="G55" i="3"/>
  <c r="L55" i="3"/>
  <c r="F56" i="3"/>
  <c r="L56" i="3"/>
  <c r="F57" i="3"/>
  <c r="K57" i="3"/>
  <c r="F58" i="3"/>
  <c r="K58" i="3"/>
  <c r="E59" i="3"/>
  <c r="K59" i="3"/>
  <c r="E60" i="3"/>
  <c r="J60" i="3"/>
  <c r="O60" i="3"/>
  <c r="J61" i="3"/>
  <c r="O61" i="3"/>
  <c r="I62" i="3"/>
  <c r="O62" i="3"/>
  <c r="I63" i="3"/>
  <c r="N63" i="3"/>
  <c r="I64" i="3"/>
  <c r="N64" i="3"/>
  <c r="H65" i="3"/>
  <c r="N65" i="3"/>
  <c r="H66" i="3"/>
  <c r="M66" i="3"/>
  <c r="H67" i="3"/>
  <c r="M67" i="3"/>
  <c r="G68" i="3"/>
  <c r="M68" i="3"/>
  <c r="G69" i="3"/>
  <c r="L69" i="3"/>
  <c r="G70" i="3"/>
  <c r="L70" i="3"/>
  <c r="F71" i="3"/>
  <c r="L71" i="3"/>
  <c r="F72" i="3"/>
  <c r="K72" i="3"/>
  <c r="F73" i="3"/>
  <c r="K73" i="3"/>
  <c r="E74" i="3"/>
  <c r="K74" i="3"/>
  <c r="E75" i="3"/>
  <c r="J75" i="3"/>
  <c r="E76" i="3"/>
  <c r="J76" i="3"/>
  <c r="O76" i="3"/>
  <c r="J77" i="3"/>
  <c r="O77" i="3"/>
  <c r="I78" i="3"/>
  <c r="O78" i="3"/>
  <c r="I79" i="3"/>
  <c r="N79" i="3"/>
  <c r="I80" i="3"/>
  <c r="N80" i="3"/>
  <c r="H81" i="3"/>
  <c r="N81" i="3"/>
  <c r="H82" i="3"/>
  <c r="M82" i="3"/>
  <c r="H83" i="3"/>
  <c r="M83" i="3"/>
  <c r="G84" i="3"/>
  <c r="M84" i="3"/>
  <c r="G85" i="3"/>
  <c r="L85" i="3"/>
  <c r="G86" i="3"/>
  <c r="L86" i="3"/>
  <c r="F87" i="3"/>
  <c r="L87" i="3"/>
  <c r="F88" i="3"/>
  <c r="K88" i="3"/>
  <c r="F89" i="3"/>
  <c r="K89" i="3"/>
  <c r="O89" i="3"/>
  <c r="H90" i="3"/>
  <c r="L90" i="3"/>
  <c r="E91" i="3"/>
  <c r="I91" i="3"/>
  <c r="M91" i="3"/>
  <c r="F92" i="3"/>
  <c r="J92" i="3"/>
  <c r="N92" i="3"/>
  <c r="G93" i="3"/>
  <c r="K93" i="3"/>
  <c r="O93" i="3"/>
  <c r="H94" i="3"/>
  <c r="L94" i="3"/>
  <c r="E95" i="3"/>
  <c r="I95" i="3"/>
  <c r="M95" i="3"/>
  <c r="F96" i="3"/>
  <c r="J96" i="3"/>
  <c r="N96" i="3"/>
  <c r="G97" i="3"/>
  <c r="K97" i="3"/>
  <c r="O97" i="3"/>
  <c r="H98" i="3"/>
  <c r="L98" i="3"/>
  <c r="E99" i="3"/>
  <c r="I99" i="3"/>
  <c r="M99" i="3"/>
  <c r="F100" i="3"/>
  <c r="J100" i="3"/>
  <c r="N100" i="3"/>
  <c r="G101" i="3"/>
  <c r="K101" i="3"/>
  <c r="O101" i="3"/>
  <c r="H102" i="3"/>
  <c r="L102" i="3"/>
  <c r="E103" i="3"/>
  <c r="I103" i="3"/>
  <c r="M103" i="3"/>
  <c r="F104" i="3"/>
  <c r="J104" i="3"/>
  <c r="N104" i="3"/>
  <c r="G105" i="3"/>
  <c r="K105" i="3"/>
  <c r="O105" i="3"/>
  <c r="H106" i="3"/>
  <c r="L106" i="3"/>
  <c r="E107" i="3"/>
  <c r="I107" i="3"/>
  <c r="M107" i="3"/>
  <c r="F108" i="3"/>
  <c r="J108" i="3"/>
  <c r="N108" i="3"/>
  <c r="G109" i="3"/>
  <c r="K109" i="3"/>
  <c r="O109" i="3"/>
  <c r="H110" i="3"/>
  <c r="L110" i="3"/>
  <c r="E111" i="3"/>
  <c r="I111" i="3"/>
  <c r="M111" i="3"/>
  <c r="F112" i="3"/>
  <c r="J112" i="3"/>
  <c r="N112" i="3"/>
  <c r="G113" i="3"/>
  <c r="K113" i="3"/>
  <c r="O113" i="3"/>
  <c r="H114" i="3"/>
  <c r="L114" i="3"/>
  <c r="E115" i="3"/>
  <c r="I115" i="3"/>
  <c r="M115" i="3"/>
  <c r="F116" i="3"/>
  <c r="J116" i="3"/>
  <c r="N116" i="3"/>
  <c r="G117" i="3"/>
  <c r="K117" i="3"/>
  <c r="O117" i="3"/>
  <c r="H118" i="3"/>
  <c r="L118" i="3"/>
  <c r="E119" i="3"/>
  <c r="I119" i="3"/>
  <c r="M119" i="3"/>
  <c r="F120" i="3"/>
  <c r="J120" i="3"/>
  <c r="N120" i="3"/>
  <c r="G121" i="3"/>
  <c r="K121" i="3"/>
  <c r="O121" i="3"/>
  <c r="H122" i="3"/>
  <c r="L122" i="3"/>
  <c r="E123" i="3"/>
  <c r="I123" i="3"/>
  <c r="M123" i="3"/>
  <c r="F124" i="3"/>
  <c r="J124" i="3"/>
  <c r="N124" i="3"/>
  <c r="G125" i="3"/>
  <c r="K125" i="3"/>
  <c r="O125" i="3"/>
  <c r="H126" i="3"/>
  <c r="L126" i="3"/>
  <c r="E127" i="3"/>
  <c r="I127" i="3"/>
  <c r="M127" i="3"/>
  <c r="F128" i="3"/>
  <c r="J128" i="3"/>
  <c r="N128" i="3"/>
  <c r="G129" i="3"/>
  <c r="K129" i="3"/>
  <c r="O129" i="3"/>
  <c r="H130" i="3"/>
  <c r="L130" i="3"/>
  <c r="E131" i="3"/>
  <c r="I131" i="3"/>
  <c r="M131" i="3"/>
  <c r="F132" i="3"/>
  <c r="J132" i="3"/>
  <c r="N132" i="3"/>
  <c r="G133" i="3"/>
  <c r="K133" i="3"/>
  <c r="O133" i="3"/>
  <c r="H134" i="3"/>
  <c r="L134" i="3"/>
  <c r="E135" i="3"/>
  <c r="I135" i="3"/>
  <c r="M135" i="3"/>
  <c r="F136" i="3"/>
  <c r="J136" i="3"/>
  <c r="N136" i="3"/>
  <c r="G137" i="3"/>
  <c r="K137" i="3"/>
  <c r="O137" i="3"/>
  <c r="H138" i="3"/>
  <c r="L138" i="3"/>
  <c r="E139" i="3"/>
  <c r="I139" i="3"/>
  <c r="M139" i="3"/>
  <c r="F140" i="3"/>
  <c r="J140" i="3"/>
  <c r="N140" i="3"/>
  <c r="G141" i="3"/>
  <c r="K141" i="3"/>
  <c r="O141" i="3"/>
  <c r="H142" i="3"/>
  <c r="L142" i="3"/>
  <c r="E143" i="3"/>
  <c r="I143" i="3"/>
  <c r="M143" i="3"/>
  <c r="F144" i="3"/>
  <c r="J144" i="3"/>
  <c r="N144" i="3"/>
  <c r="G145" i="3"/>
  <c r="K145" i="3"/>
  <c r="O145" i="3"/>
  <c r="H146" i="3"/>
  <c r="L146" i="3"/>
  <c r="E147" i="3"/>
  <c r="I147" i="3"/>
  <c r="M147" i="3"/>
  <c r="F148" i="3"/>
  <c r="J148" i="3"/>
  <c r="N148" i="3"/>
  <c r="G149" i="3"/>
  <c r="K149" i="3"/>
  <c r="O149" i="3"/>
  <c r="H150" i="3"/>
  <c r="L150" i="3"/>
  <c r="E151" i="3"/>
  <c r="I151" i="3"/>
  <c r="M151" i="3"/>
  <c r="F152" i="3"/>
  <c r="J152" i="3"/>
  <c r="N152" i="3"/>
  <c r="G153" i="3"/>
  <c r="K153" i="3"/>
  <c r="O153" i="3"/>
  <c r="H154" i="3"/>
  <c r="L154" i="3"/>
  <c r="E155" i="3"/>
  <c r="I155" i="3"/>
  <c r="M155" i="3"/>
  <c r="F156" i="3"/>
  <c r="J156" i="3"/>
  <c r="N156" i="3"/>
  <c r="G157" i="3"/>
  <c r="K157" i="3"/>
  <c r="O157" i="3"/>
  <c r="H158" i="3"/>
  <c r="L158" i="3"/>
  <c r="E159" i="3"/>
  <c r="I159" i="3"/>
  <c r="M159" i="3"/>
  <c r="F160" i="3"/>
  <c r="J160" i="3"/>
  <c r="N160" i="3"/>
  <c r="G161" i="3"/>
  <c r="K161" i="3"/>
  <c r="O161" i="3"/>
  <c r="H162" i="3"/>
  <c r="L162" i="3"/>
  <c r="E163" i="3"/>
  <c r="I163" i="3"/>
  <c r="M163" i="3"/>
  <c r="F164" i="3"/>
  <c r="J164" i="3"/>
  <c r="N164" i="3"/>
  <c r="G165" i="3"/>
  <c r="K165" i="3"/>
  <c r="O165" i="3"/>
  <c r="H166" i="3"/>
  <c r="L166" i="3"/>
  <c r="E167" i="3"/>
  <c r="J4" i="3"/>
  <c r="L9" i="3"/>
  <c r="L13" i="3"/>
  <c r="O16" i="3"/>
  <c r="N19" i="3"/>
  <c r="L21" i="3"/>
  <c r="F23" i="3"/>
  <c r="O24" i="3"/>
  <c r="M26" i="3"/>
  <c r="K28" i="3"/>
  <c r="E30" i="3"/>
  <c r="N31" i="3"/>
  <c r="M32" i="3"/>
  <c r="K33" i="3"/>
  <c r="K34" i="3"/>
  <c r="H35" i="3"/>
  <c r="F36" i="3"/>
  <c r="F37" i="3"/>
  <c r="O37" i="3"/>
  <c r="L38" i="3"/>
  <c r="L39" i="3"/>
  <c r="J40" i="3"/>
  <c r="H41" i="3"/>
  <c r="H42" i="3"/>
  <c r="E43" i="3"/>
  <c r="N43" i="3"/>
  <c r="N44" i="3"/>
  <c r="L45" i="3"/>
  <c r="I46" i="3"/>
  <c r="I47" i="3"/>
  <c r="G48" i="3"/>
  <c r="F49" i="3"/>
  <c r="E50" i="3"/>
  <c r="M50" i="3"/>
  <c r="L51" i="3"/>
  <c r="I52" i="3"/>
  <c r="E53" i="3"/>
  <c r="K53" i="3"/>
  <c r="H54" i="3"/>
  <c r="O54" i="3"/>
  <c r="K55" i="3"/>
  <c r="H56" i="3"/>
  <c r="N56" i="3"/>
  <c r="J57" i="3"/>
  <c r="G58" i="3"/>
  <c r="N58" i="3"/>
  <c r="I59" i="3"/>
  <c r="I60" i="3"/>
  <c r="F61" i="3"/>
  <c r="L61" i="3"/>
  <c r="H62" i="3"/>
  <c r="E63" i="3"/>
  <c r="L63" i="3"/>
  <c r="G64" i="3"/>
  <c r="O64" i="3"/>
  <c r="K65" i="3"/>
  <c r="G66" i="3"/>
  <c r="O66" i="3"/>
  <c r="J67" i="3"/>
  <c r="F68" i="3"/>
  <c r="N68" i="3"/>
  <c r="J69" i="3"/>
  <c r="E70" i="3"/>
  <c r="M70" i="3"/>
  <c r="I71" i="3"/>
  <c r="E72" i="3"/>
  <c r="M72" i="3"/>
  <c r="H73" i="3"/>
  <c r="O73" i="3"/>
  <c r="L74" i="3"/>
  <c r="H75" i="3"/>
  <c r="N75" i="3"/>
  <c r="K76" i="3"/>
  <c r="G77" i="3"/>
  <c r="N77" i="3"/>
  <c r="K78" i="3"/>
  <c r="F79" i="3"/>
  <c r="M79" i="3"/>
  <c r="J80" i="3"/>
  <c r="F81" i="3"/>
  <c r="L81" i="3"/>
  <c r="I82" i="3"/>
  <c r="E83" i="3"/>
  <c r="L83" i="3"/>
  <c r="I84" i="3"/>
  <c r="O84" i="3"/>
  <c r="K85" i="3"/>
  <c r="H86" i="3"/>
  <c r="O86" i="3"/>
  <c r="J87" i="3"/>
  <c r="G88" i="3"/>
  <c r="N88" i="3"/>
  <c r="J89" i="3"/>
  <c r="E90" i="3"/>
  <c r="J90" i="3"/>
  <c r="O90" i="3"/>
  <c r="J91" i="3"/>
  <c r="O91" i="3"/>
  <c r="I92" i="3"/>
  <c r="O92" i="3"/>
  <c r="I93" i="3"/>
  <c r="N93" i="3"/>
  <c r="I94" i="3"/>
  <c r="N94" i="3"/>
  <c r="H95" i="3"/>
  <c r="N95" i="3"/>
  <c r="H96" i="3"/>
  <c r="M96" i="3"/>
  <c r="H97" i="3"/>
  <c r="M97" i="3"/>
  <c r="G98" i="3"/>
  <c r="M98" i="3"/>
  <c r="G99" i="3"/>
  <c r="L99" i="3"/>
  <c r="G100" i="3"/>
  <c r="L100" i="3"/>
  <c r="F101" i="3"/>
  <c r="L101" i="3"/>
  <c r="F102" i="3"/>
  <c r="K102" i="3"/>
  <c r="F103" i="3"/>
  <c r="K103" i="3"/>
  <c r="E104" i="3"/>
  <c r="K104" i="3"/>
  <c r="E105" i="3"/>
  <c r="J105" i="3"/>
  <c r="E106" i="3"/>
  <c r="J106" i="3"/>
  <c r="O106" i="3"/>
  <c r="J107" i="3"/>
  <c r="O107" i="3"/>
  <c r="I108" i="3"/>
  <c r="O108" i="3"/>
  <c r="I109" i="3"/>
  <c r="N109" i="3"/>
  <c r="I110" i="3"/>
  <c r="N110" i="3"/>
  <c r="H111" i="3"/>
  <c r="N111" i="3"/>
  <c r="H112" i="3"/>
  <c r="M112" i="3"/>
  <c r="H113" i="3"/>
  <c r="M113" i="3"/>
  <c r="G114" i="3"/>
  <c r="M114" i="3"/>
  <c r="G115" i="3"/>
  <c r="L115" i="3"/>
  <c r="G116" i="3"/>
  <c r="L116" i="3"/>
  <c r="F117" i="3"/>
  <c r="L117" i="3"/>
  <c r="F118" i="3"/>
  <c r="K118" i="3"/>
  <c r="F119" i="3"/>
  <c r="K119" i="3"/>
  <c r="E120" i="3"/>
  <c r="K120" i="3"/>
  <c r="E121" i="3"/>
  <c r="J121" i="3"/>
  <c r="E122" i="3"/>
  <c r="J122" i="3"/>
  <c r="O122" i="3"/>
  <c r="J123" i="3"/>
  <c r="O123" i="3"/>
  <c r="I124" i="3"/>
  <c r="O124" i="3"/>
  <c r="I125" i="3"/>
  <c r="N125" i="3"/>
  <c r="I126" i="3"/>
  <c r="N126" i="3"/>
  <c r="H127" i="3"/>
  <c r="N127" i="3"/>
  <c r="H128" i="3"/>
  <c r="M128" i="3"/>
  <c r="H129" i="3"/>
  <c r="M129" i="3"/>
  <c r="G130" i="3"/>
  <c r="M130" i="3"/>
  <c r="G131" i="3"/>
  <c r="L131" i="3"/>
  <c r="G132" i="3"/>
  <c r="L132" i="3"/>
  <c r="F133" i="3"/>
  <c r="L133" i="3"/>
  <c r="F134" i="3"/>
  <c r="K134" i="3"/>
  <c r="F135" i="3"/>
  <c r="K135" i="3"/>
  <c r="E136" i="3"/>
  <c r="K136" i="3"/>
  <c r="E137" i="3"/>
  <c r="J137" i="3"/>
  <c r="E138" i="3"/>
  <c r="J138" i="3"/>
  <c r="O138" i="3"/>
  <c r="J139" i="3"/>
  <c r="O139" i="3"/>
  <c r="I140" i="3"/>
  <c r="O140" i="3"/>
  <c r="I141" i="3"/>
  <c r="N141" i="3"/>
  <c r="I142" i="3"/>
  <c r="N142" i="3"/>
  <c r="H143" i="3"/>
  <c r="N143" i="3"/>
  <c r="H144" i="3"/>
  <c r="M144" i="3"/>
  <c r="H145" i="3"/>
  <c r="M145" i="3"/>
  <c r="G146" i="3"/>
  <c r="M146" i="3"/>
  <c r="G147" i="3"/>
  <c r="L147" i="3"/>
  <c r="G148" i="3"/>
  <c r="L148" i="3"/>
  <c r="F149" i="3"/>
  <c r="L149" i="3"/>
  <c r="F150" i="3"/>
  <c r="K150" i="3"/>
  <c r="F151" i="3"/>
  <c r="K151" i="3"/>
  <c r="E152" i="3"/>
  <c r="K152" i="3"/>
  <c r="E153" i="3"/>
  <c r="J153" i="3"/>
  <c r="E154" i="3"/>
  <c r="J154" i="3"/>
  <c r="O154" i="3"/>
  <c r="J155" i="3"/>
  <c r="O155" i="3"/>
  <c r="I156" i="3"/>
  <c r="O156" i="3"/>
  <c r="I157" i="3"/>
  <c r="N157" i="3"/>
  <c r="I158" i="3"/>
  <c r="N158" i="3"/>
  <c r="H159" i="3"/>
  <c r="N159" i="3"/>
  <c r="H160" i="3"/>
  <c r="M160" i="3"/>
  <c r="H161" i="3"/>
  <c r="M161" i="3"/>
  <c r="G162" i="3"/>
  <c r="M162" i="3"/>
  <c r="G163" i="3"/>
  <c r="L163" i="3"/>
  <c r="G164" i="3"/>
  <c r="L164" i="3"/>
  <c r="F165" i="3"/>
  <c r="L165" i="3"/>
  <c r="F166" i="3"/>
  <c r="K166" i="3"/>
  <c r="F167" i="3"/>
  <c r="J167" i="3"/>
  <c r="N167" i="3"/>
  <c r="G168" i="3"/>
  <c r="K168" i="3"/>
  <c r="O168" i="3"/>
  <c r="H169" i="3"/>
  <c r="L169" i="3"/>
  <c r="E170" i="3"/>
  <c r="I170" i="3"/>
  <c r="M170" i="3"/>
  <c r="F171" i="3"/>
  <c r="J171" i="3"/>
  <c r="N171" i="3"/>
  <c r="G172" i="3"/>
  <c r="K172" i="3"/>
  <c r="O172" i="3"/>
  <c r="H173" i="3"/>
  <c r="L173" i="3"/>
  <c r="E174" i="3"/>
  <c r="I174" i="3"/>
  <c r="M174" i="3"/>
  <c r="F175" i="3"/>
  <c r="J175" i="3"/>
  <c r="N175" i="3"/>
  <c r="G176" i="3"/>
  <c r="K176" i="3"/>
  <c r="O176" i="3"/>
  <c r="H177" i="3"/>
  <c r="L177" i="3"/>
  <c r="E178" i="3"/>
  <c r="I178" i="3"/>
  <c r="M178" i="3"/>
  <c r="F179" i="3"/>
  <c r="J179" i="3"/>
  <c r="N179" i="3"/>
  <c r="G180" i="3"/>
  <c r="K180" i="3"/>
  <c r="O180" i="3"/>
  <c r="H181" i="3"/>
  <c r="L181" i="3"/>
  <c r="E182" i="3"/>
  <c r="I182" i="3"/>
  <c r="M182" i="3"/>
  <c r="F183" i="3"/>
  <c r="J183" i="3"/>
  <c r="N183" i="3"/>
  <c r="G184" i="3"/>
  <c r="K184" i="3"/>
  <c r="O184" i="3"/>
  <c r="H185" i="3"/>
  <c r="L185" i="3"/>
  <c r="E186" i="3"/>
  <c r="I186" i="3"/>
  <c r="M186" i="3"/>
  <c r="F187" i="3"/>
  <c r="J187" i="3"/>
  <c r="N187" i="3"/>
  <c r="G188" i="3"/>
  <c r="K188" i="3"/>
  <c r="O188" i="3"/>
  <c r="H189" i="3"/>
  <c r="L189" i="3"/>
  <c r="E190" i="3"/>
  <c r="I190" i="3"/>
  <c r="M190" i="3"/>
  <c r="F191" i="3"/>
  <c r="J191" i="3"/>
  <c r="N191" i="3"/>
  <c r="G192" i="3"/>
  <c r="K192" i="3"/>
  <c r="O192" i="3"/>
  <c r="H193" i="3"/>
  <c r="L193" i="3"/>
  <c r="E194" i="3"/>
  <c r="I194" i="3"/>
  <c r="M194" i="3"/>
  <c r="G195" i="3"/>
  <c r="K195" i="3"/>
  <c r="O195" i="3"/>
  <c r="H196" i="3"/>
  <c r="L196" i="3"/>
  <c r="E197" i="3"/>
  <c r="I197" i="3"/>
  <c r="M197" i="3"/>
  <c r="F198" i="3"/>
  <c r="J198" i="3"/>
  <c r="N198" i="3"/>
  <c r="G199" i="3"/>
  <c r="K199" i="3"/>
  <c r="O199" i="3"/>
  <c r="H200" i="3"/>
  <c r="L200" i="3"/>
  <c r="E201" i="3"/>
  <c r="I201" i="3"/>
  <c r="M201" i="3"/>
  <c r="F202" i="3"/>
  <c r="J202" i="3"/>
  <c r="N202" i="3"/>
  <c r="N4" i="3"/>
  <c r="J7" i="3"/>
  <c r="F11" i="3"/>
  <c r="M14" i="3"/>
  <c r="L17" i="3"/>
  <c r="G20" i="3"/>
  <c r="E22" i="3"/>
  <c r="L23" i="3"/>
  <c r="L25" i="3"/>
  <c r="F27" i="3"/>
  <c r="M28" i="3"/>
  <c r="M30" i="3"/>
  <c r="F32" i="3"/>
  <c r="N32" i="3"/>
  <c r="N33" i="3"/>
  <c r="L34" i="3"/>
  <c r="J35" i="3"/>
  <c r="J36" i="3"/>
  <c r="G37" i="3"/>
  <c r="E38" i="3"/>
  <c r="E39" i="3"/>
  <c r="N39" i="3"/>
  <c r="K40" i="3"/>
  <c r="K41" i="3"/>
  <c r="I42" i="3"/>
  <c r="H43" i="3"/>
  <c r="G44" i="3"/>
  <c r="O44" i="3"/>
  <c r="N45" i="3"/>
  <c r="L47" i="3"/>
  <c r="I48" i="3"/>
  <c r="H49" i="3"/>
  <c r="G50" i="3"/>
  <c r="E51" i="3"/>
  <c r="O51" i="3"/>
  <c r="J52" i="3"/>
  <c r="F53" i="3"/>
  <c r="N53" i="3"/>
  <c r="J54" i="3"/>
  <c r="E55" i="3"/>
  <c r="M55" i="3"/>
  <c r="E57" i="3"/>
  <c r="M57" i="3"/>
  <c r="O58" i="3"/>
  <c r="K60" i="3"/>
  <c r="N61" i="3"/>
  <c r="K62" i="3"/>
  <c r="M63" i="3"/>
  <c r="F65" i="3"/>
  <c r="I66" i="3"/>
  <c r="L67" i="3"/>
  <c r="O68" i="3"/>
  <c r="H70" i="3"/>
  <c r="J71" i="3"/>
  <c r="N72" i="3"/>
  <c r="G74" i="3"/>
  <c r="I75" i="3"/>
  <c r="M76" i="3"/>
  <c r="H77" i="3"/>
  <c r="L78" i="3"/>
  <c r="E80" i="3"/>
  <c r="G81" i="3"/>
  <c r="K82" i="3"/>
  <c r="N83" i="3"/>
  <c r="F85" i="3"/>
  <c r="I86" i="3"/>
  <c r="M87" i="3"/>
  <c r="O88" i="3"/>
  <c r="F90" i="3"/>
  <c r="F91" i="3"/>
  <c r="E92" i="3"/>
  <c r="E93" i="3"/>
  <c r="E94" i="3"/>
  <c r="O94" i="3"/>
  <c r="O95" i="3"/>
  <c r="O96" i="3"/>
  <c r="N97" i="3"/>
  <c r="N98" i="3"/>
  <c r="N99" i="3"/>
  <c r="H100" i="3"/>
  <c r="H101" i="3"/>
  <c r="G102" i="3"/>
  <c r="G103" i="3"/>
  <c r="G104" i="3"/>
  <c r="F105" i="3"/>
  <c r="F106" i="3"/>
  <c r="F107" i="3"/>
  <c r="E108" i="3"/>
  <c r="E109" i="3"/>
  <c r="E110" i="3"/>
  <c r="O110" i="3"/>
  <c r="O111" i="3"/>
  <c r="O112" i="3"/>
  <c r="N113" i="3"/>
  <c r="N114" i="3"/>
  <c r="N115" i="3"/>
  <c r="M116" i="3"/>
  <c r="M117" i="3"/>
  <c r="M118" i="3"/>
  <c r="L119" i="3"/>
  <c r="L120" i="3"/>
  <c r="L121" i="3"/>
  <c r="K122" i="3"/>
  <c r="K123" i="3"/>
  <c r="K124" i="3"/>
  <c r="J125" i="3"/>
  <c r="J126" i="3"/>
  <c r="J127" i="3"/>
  <c r="I128" i="3"/>
  <c r="I129" i="3"/>
  <c r="I130" i="3"/>
  <c r="N130" i="3"/>
  <c r="N131" i="3"/>
  <c r="M132" i="3"/>
  <c r="M133" i="3"/>
  <c r="M134" i="3"/>
  <c r="L135" i="3"/>
  <c r="L136" i="3"/>
  <c r="L137" i="3"/>
  <c r="K138" i="3"/>
  <c r="K139" i="3"/>
  <c r="K140" i="3"/>
  <c r="J141" i="3"/>
  <c r="J142" i="3"/>
  <c r="J143" i="3"/>
  <c r="I144" i="3"/>
  <c r="O144" i="3"/>
  <c r="N145" i="3"/>
  <c r="N146" i="3"/>
  <c r="N147" i="3"/>
  <c r="M46" i="3"/>
  <c r="I56" i="3"/>
  <c r="H58" i="3"/>
  <c r="L59" i="3"/>
  <c r="G61" i="3"/>
  <c r="F63" i="3"/>
  <c r="J64" i="3"/>
  <c r="L65" i="3"/>
  <c r="E67" i="3"/>
  <c r="I68" i="3"/>
  <c r="K69" i="3"/>
  <c r="O70" i="3"/>
  <c r="G72" i="3"/>
  <c r="J73" i="3"/>
  <c r="M74" i="3"/>
  <c r="F76" i="3"/>
  <c r="E78" i="3"/>
  <c r="H79" i="3"/>
  <c r="K80" i="3"/>
  <c r="O81" i="3"/>
  <c r="F83" i="3"/>
  <c r="J84" i="3"/>
  <c r="N85" i="3"/>
  <c r="E87" i="3"/>
  <c r="I88" i="3"/>
  <c r="L89" i="3"/>
  <c r="K90" i="3"/>
  <c r="K91" i="3"/>
  <c r="K92" i="3"/>
  <c r="J93" i="3"/>
  <c r="J94" i="3"/>
  <c r="J95" i="3"/>
  <c r="I96" i="3"/>
  <c r="I97" i="3"/>
  <c r="I98" i="3"/>
  <c r="H99" i="3"/>
  <c r="M100" i="3"/>
  <c r="M101" i="3"/>
  <c r="M102" i="3"/>
  <c r="L103" i="3"/>
  <c r="L104" i="3"/>
  <c r="L105" i="3"/>
  <c r="K106" i="3"/>
  <c r="K107" i="3"/>
  <c r="K108" i="3"/>
  <c r="J109" i="3"/>
  <c r="J110" i="3"/>
  <c r="J111" i="3"/>
  <c r="I112" i="3"/>
  <c r="I113" i="3"/>
  <c r="I114" i="3"/>
  <c r="H115" i="3"/>
  <c r="H116" i="3"/>
  <c r="H117" i="3"/>
  <c r="G118" i="3"/>
  <c r="G119" i="3"/>
  <c r="G120" i="3"/>
  <c r="F121" i="3"/>
  <c r="F122" i="3"/>
  <c r="F123" i="3"/>
  <c r="E124" i="3"/>
  <c r="E125" i="3"/>
  <c r="E126" i="3"/>
  <c r="O126" i="3"/>
  <c r="O127" i="3"/>
  <c r="O128" i="3"/>
  <c r="N129" i="3"/>
  <c r="H131" i="3"/>
  <c r="H132" i="3"/>
  <c r="H133" i="3"/>
  <c r="G134" i="3"/>
  <c r="G135" i="3"/>
  <c r="G136" i="3"/>
  <c r="F137" i="3"/>
  <c r="F138" i="3"/>
  <c r="F139" i="3"/>
  <c r="E140" i="3"/>
  <c r="E141" i="3"/>
  <c r="E142" i="3"/>
  <c r="O142" i="3"/>
  <c r="O143" i="3"/>
  <c r="I145" i="3"/>
  <c r="I146" i="3"/>
  <c r="H147" i="3"/>
  <c r="O202" i="3"/>
  <c r="I202" i="3"/>
  <c r="O201" i="3"/>
  <c r="J201" i="3"/>
  <c r="O200" i="3"/>
  <c r="J200" i="3"/>
  <c r="E200" i="3"/>
  <c r="J199" i="3"/>
  <c r="E199" i="3"/>
  <c r="K198" i="3"/>
  <c r="E198" i="3"/>
  <c r="K197" i="3"/>
  <c r="F197" i="3"/>
  <c r="K196" i="3"/>
  <c r="F196" i="3"/>
  <c r="L195" i="3"/>
  <c r="F195" i="3"/>
  <c r="L194" i="3"/>
  <c r="G194" i="3"/>
  <c r="M193" i="3"/>
  <c r="G193" i="3"/>
  <c r="M192" i="3"/>
  <c r="H192" i="3"/>
  <c r="M191" i="3"/>
  <c r="H191" i="3"/>
  <c r="N190" i="3"/>
  <c r="H190" i="3"/>
  <c r="N189" i="3"/>
  <c r="I189" i="3"/>
  <c r="N188" i="3"/>
  <c r="I188" i="3"/>
  <c r="O187" i="3"/>
  <c r="I187" i="3"/>
  <c r="O186" i="3"/>
  <c r="J186" i="3"/>
  <c r="O185" i="3"/>
  <c r="J185" i="3"/>
  <c r="E185" i="3"/>
  <c r="J184" i="3"/>
  <c r="E184" i="3"/>
  <c r="K183" i="3"/>
  <c r="E183" i="3"/>
  <c r="K182" i="3"/>
  <c r="F182" i="3"/>
  <c r="K181" i="3"/>
  <c r="F181" i="3"/>
  <c r="L180" i="3"/>
  <c r="F180" i="3"/>
  <c r="L179" i="3"/>
  <c r="G179" i="3"/>
  <c r="L178" i="3"/>
  <c r="G178" i="3"/>
  <c r="M177" i="3"/>
  <c r="G177" i="3"/>
  <c r="M176" i="3"/>
  <c r="H176" i="3"/>
  <c r="M175" i="3"/>
  <c r="H175" i="3"/>
  <c r="N174" i="3"/>
  <c r="H174" i="3"/>
  <c r="N173" i="3"/>
  <c r="I173" i="3"/>
  <c r="N172" i="3"/>
  <c r="I172" i="3"/>
  <c r="O171" i="3"/>
  <c r="I171" i="3"/>
  <c r="O170" i="3"/>
  <c r="J170" i="3"/>
  <c r="O169" i="3"/>
  <c r="J169" i="3"/>
  <c r="E169" i="3"/>
  <c r="J168" i="3"/>
  <c r="E168" i="3"/>
  <c r="K167" i="3"/>
  <c r="O166" i="3"/>
  <c r="I166" i="3"/>
  <c r="M165" i="3"/>
  <c r="E165" i="3"/>
  <c r="I164" i="3"/>
  <c r="N163" i="3"/>
  <c r="F163" i="3"/>
  <c r="J162" i="3"/>
  <c r="N161" i="3"/>
  <c r="F161" i="3"/>
  <c r="K160" i="3"/>
  <c r="O159" i="3"/>
  <c r="G159" i="3"/>
  <c r="K158" i="3"/>
  <c r="E158" i="3"/>
  <c r="H157" i="3"/>
  <c r="L156" i="3"/>
  <c r="E156" i="3"/>
  <c r="H155" i="3"/>
  <c r="M154" i="3"/>
  <c r="F154" i="3"/>
  <c r="I153" i="3"/>
  <c r="M152" i="3"/>
  <c r="G152" i="3"/>
  <c r="J151" i="3"/>
  <c r="N150" i="3"/>
  <c r="G150" i="3"/>
  <c r="J149" i="3"/>
  <c r="O148" i="3"/>
  <c r="H148" i="3"/>
  <c r="J147" i="3"/>
  <c r="J146" i="3"/>
  <c r="J145" i="3"/>
  <c r="K144" i="3"/>
  <c r="K143" i="3"/>
  <c r="K142" i="3"/>
  <c r="L141" i="3"/>
  <c r="L140" i="3"/>
  <c r="L139" i="3"/>
  <c r="M138" i="3"/>
  <c r="M137" i="3"/>
  <c r="M136" i="3"/>
  <c r="N135" i="3"/>
  <c r="N134" i="3"/>
  <c r="N133" i="3"/>
  <c r="O132" i="3"/>
  <c r="O131" i="3"/>
  <c r="O130" i="3"/>
  <c r="E130" i="3"/>
  <c r="E129" i="3"/>
  <c r="E128" i="3"/>
  <c r="F127" i="3"/>
  <c r="F126" i="3"/>
  <c r="F125" i="3"/>
  <c r="G124" i="3"/>
  <c r="G123" i="3"/>
  <c r="G122" i="3"/>
  <c r="H121" i="3"/>
  <c r="H120" i="3"/>
  <c r="H119" i="3"/>
  <c r="I118" i="3"/>
  <c r="I117" i="3"/>
  <c r="I116" i="3"/>
  <c r="J115" i="3"/>
  <c r="J114" i="3"/>
  <c r="J113" i="3"/>
  <c r="K112" i="3"/>
  <c r="K111" i="3"/>
  <c r="K110" i="3"/>
  <c r="L109" i="3"/>
  <c r="L108" i="3"/>
  <c r="L107" i="3"/>
  <c r="M106" i="3"/>
  <c r="M105" i="3"/>
  <c r="M104" i="3"/>
  <c r="N103" i="3"/>
  <c r="N102" i="3"/>
  <c r="N101" i="3"/>
  <c r="O100" i="3"/>
  <c r="O99" i="3"/>
  <c r="O98" i="3"/>
  <c r="E98" i="3"/>
  <c r="E97" i="3"/>
  <c r="E96" i="3"/>
  <c r="F95" i="3"/>
  <c r="F94" i="3"/>
  <c r="F93" i="3"/>
  <c r="G92" i="3"/>
  <c r="G91" i="3"/>
  <c r="G90" i="3"/>
  <c r="G89" i="3"/>
  <c r="N87" i="3"/>
  <c r="K86" i="3"/>
  <c r="H85" i="3"/>
  <c r="E84" i="3"/>
  <c r="L82" i="3"/>
  <c r="J81" i="3"/>
  <c r="F80" i="3"/>
  <c r="M78" i="3"/>
  <c r="K77" i="3"/>
  <c r="G76" i="3"/>
  <c r="O74" i="3"/>
  <c r="L73" i="3"/>
  <c r="I72" i="3"/>
  <c r="E71" i="3"/>
  <c r="N69" i="3"/>
  <c r="J68" i="3"/>
  <c r="F67" i="3"/>
  <c r="O65" i="3"/>
  <c r="K64" i="3"/>
  <c r="H63" i="3"/>
  <c r="E62" i="3"/>
  <c r="M60" i="3"/>
  <c r="G59" i="3"/>
  <c r="N57" i="3"/>
  <c r="J56" i="3"/>
  <c r="H55" i="3"/>
  <c r="O53" i="3"/>
  <c r="L52" i="3"/>
  <c r="H51" i="3"/>
  <c r="K49" i="3"/>
  <c r="M47" i="3"/>
  <c r="G46" i="3"/>
  <c r="I44" i="3"/>
  <c r="K42" i="3"/>
  <c r="O40" i="3"/>
  <c r="F39" i="3"/>
  <c r="J37" i="3"/>
  <c r="M35" i="3"/>
  <c r="E34" i="3"/>
  <c r="G32" i="3"/>
  <c r="J29" i="3"/>
  <c r="N25" i="3"/>
  <c r="G22" i="3"/>
  <c r="F19" i="3"/>
  <c r="N11" i="3"/>
  <c r="O5" i="3"/>
</calcChain>
</file>

<file path=xl/sharedStrings.xml><?xml version="1.0" encoding="utf-8"?>
<sst xmlns="http://schemas.openxmlformats.org/spreadsheetml/2006/main" count="4886" uniqueCount="1153">
  <si>
    <t>آخر سعر</t>
  </si>
  <si>
    <t>الكمية</t>
  </si>
  <si>
    <t>سعر الفتح</t>
  </si>
  <si>
    <t>مستشفى النزهه الدولي</t>
  </si>
  <si>
    <t>سبيد ميديكال</t>
  </si>
  <si>
    <t>القاهرة للدواجن</t>
  </si>
  <si>
    <t>المصرية للاتصالات</t>
  </si>
  <si>
    <t>المنصورة للدواجن</t>
  </si>
  <si>
    <t>العبوات الطبية</t>
  </si>
  <si>
    <t>ابن سينا فارما</t>
  </si>
  <si>
    <t>مصر للالومنيوم</t>
  </si>
  <si>
    <t>طاقة عربية</t>
  </si>
  <si>
    <t>الالومنيوم العربية</t>
  </si>
  <si>
    <t>اكتوبر فارما</t>
  </si>
  <si>
    <t>الدلتا للسكر</t>
  </si>
  <si>
    <t>مصر للفنادق</t>
  </si>
  <si>
    <t>اسمنت سيناء</t>
  </si>
  <si>
    <t>مطاحن شرق الدلتا</t>
  </si>
  <si>
    <t>بلتون القابضة</t>
  </si>
  <si>
    <t>الوطنية للطباعة</t>
  </si>
  <si>
    <t>العربية للمحابس</t>
  </si>
  <si>
    <t>مطاحن مصر العليا</t>
  </si>
  <si>
    <t>المصرف المتحد</t>
  </si>
  <si>
    <t>غاز مصر</t>
  </si>
  <si>
    <t>اوراسكوم للتنمية مصر</t>
  </si>
  <si>
    <t>بنك قطر الوطني</t>
  </si>
  <si>
    <t>المهندس للتأمين</t>
  </si>
  <si>
    <t>مصر للاسواق الحرة</t>
  </si>
  <si>
    <t>بريميم هيلثكير جروب</t>
  </si>
  <si>
    <t>جلاكسو سميثكلاين</t>
  </si>
  <si>
    <t>القطاع</t>
  </si>
  <si>
    <t>الإقفال السابق</t>
  </si>
  <si>
    <t>سعر الاغلاق</t>
  </si>
  <si>
    <t>نسبة التغير%</t>
  </si>
  <si>
    <t>اعلى سعر</t>
  </si>
  <si>
    <t>اقل سعر</t>
  </si>
  <si>
    <t>القيمة (جنيه)</t>
  </si>
  <si>
    <t>عدد العمليات</t>
  </si>
  <si>
    <t>رأس المال السوقى (مليون جنيه)</t>
  </si>
  <si>
    <t>اية كابيتال القابضة</t>
  </si>
  <si>
    <t>عقارات</t>
  </si>
  <si>
    <t>مرافق</t>
  </si>
  <si>
    <t>ورق ومواد تعبئة و تغليف</t>
  </si>
  <si>
    <t>اكت فاينانشال للاستشارات</t>
  </si>
  <si>
    <t>خدمات مالية غير مصرفية</t>
  </si>
  <si>
    <t>أم بي للهندسةM.B</t>
  </si>
  <si>
    <t>خدمات و منتجات صناعية وسيارات</t>
  </si>
  <si>
    <t>لوتس للتنمية والاستثمار الزراعى</t>
  </si>
  <si>
    <t>أغذية و مشروبات و تبغ</t>
  </si>
  <si>
    <t>بنوك</t>
  </si>
  <si>
    <t>ارابيا للاستثمار والتنمية</t>
  </si>
  <si>
    <t>رعاية صحية و ادوية</t>
  </si>
  <si>
    <t>بنيان للتنمية والتجارة</t>
  </si>
  <si>
    <t>الدولية للأسمدة والكيماويات</t>
  </si>
  <si>
    <t>تجارة و موزعون</t>
  </si>
  <si>
    <t>جورميه ايجيبت دوت كوم للاغذية</t>
  </si>
  <si>
    <t>العالمية للاستثمار والتنمية</t>
  </si>
  <si>
    <t>ام.ام جروب للصناعة والتجارة العالمية</t>
  </si>
  <si>
    <t>ديجيتايز للاستثمار والتقنية</t>
  </si>
  <si>
    <t>اتصالات و اعلام و تكنولوجيا المعلومات</t>
  </si>
  <si>
    <t>فيركيم مصر للاسمدة والكيماويات</t>
  </si>
  <si>
    <t>موارد أساسية</t>
  </si>
  <si>
    <t>يو للتمويل الاستهلاكى</t>
  </si>
  <si>
    <t>جو جرين للاستثمار الزراعى والتنمية</t>
  </si>
  <si>
    <t>اي فاينانس للاستثمارات المالية والرقمية</t>
  </si>
  <si>
    <t>مرسيليا المصرية الخليجية للاستثمار العقارى</t>
  </si>
  <si>
    <t>شارم دريمز للاستثمار السياحى</t>
  </si>
  <si>
    <t>سياحة وترفيه</t>
  </si>
  <si>
    <t>الاسماعيلية الوطنية للصناعات الغذائية (فوديكو)</t>
  </si>
  <si>
    <t>زهراء المعادي للاستثمار والتعمير</t>
  </si>
  <si>
    <t>الجيزةالعامة للمقاولات والاستثمارالعقارى</t>
  </si>
  <si>
    <t>مقاولات و إنشاءات هندسية</t>
  </si>
  <si>
    <t>شركة النصر للأعمال المدنية</t>
  </si>
  <si>
    <t>المصرية للدواجن</t>
  </si>
  <si>
    <t>مجموعة النعيم العقارية القابضة</t>
  </si>
  <si>
    <t>جى بى اى للنمو العمرانى</t>
  </si>
  <si>
    <t>قناة السويس لتوطين التكنولوجيا</t>
  </si>
  <si>
    <t>خدمات تعليمية</t>
  </si>
  <si>
    <t>راية القابضة للأستثمارات المالية</t>
  </si>
  <si>
    <t>العامة لصناعة الورق - راكتا</t>
  </si>
  <si>
    <t>ابوقير للاسمدة والصناعات الكيماوية</t>
  </si>
  <si>
    <t>الزيوت المستخلصة ومنتجاتها</t>
  </si>
  <si>
    <t>الصناعات الكيماوية المصرية - كيما</t>
  </si>
  <si>
    <t>مطاحن ومخابز شمال القاهرة</t>
  </si>
  <si>
    <t>مطاحن ومخابز الاسكندرية</t>
  </si>
  <si>
    <t>مطاحن وسط وغرب الدلتا</t>
  </si>
  <si>
    <t>مطاحن مصر الوسطي</t>
  </si>
  <si>
    <t>العربية لحليج الأقطان</t>
  </si>
  <si>
    <t>منسوجات و سلع معمرة</t>
  </si>
  <si>
    <t>النساجون الشرقيون للسجاد</t>
  </si>
  <si>
    <t>العربية للادوية والصناعات الكيماوية</t>
  </si>
  <si>
    <t>القاهرة للادوية والصناعات الكيماوية</t>
  </si>
  <si>
    <t>روبكس العالميه لتصنيع البلاستيك والاكريلك</t>
  </si>
  <si>
    <t>مواد البناء</t>
  </si>
  <si>
    <t>ليسيكو مصر</t>
  </si>
  <si>
    <t>مصر للاسمنت - قنا</t>
  </si>
  <si>
    <t>اجواء للصناعات الغذائية - مصر</t>
  </si>
  <si>
    <t>البنك المصري لتنمية الصادرات</t>
  </si>
  <si>
    <t>مجموعة اي اف جي القابضة</t>
  </si>
  <si>
    <t>الشمس للاسكان والتعمير</t>
  </si>
  <si>
    <t>المجموعه المصريه العقاريه</t>
  </si>
  <si>
    <t>رمكو لانشاء القرى السياحيه</t>
  </si>
  <si>
    <t>الغربية الاسلامية للتنمية العمرانية</t>
  </si>
  <si>
    <t>مدينة مصر للاسكان والتعمير</t>
  </si>
  <si>
    <t>السادس من اكتوبر للتنميه والاستثمار- سوديك</t>
  </si>
  <si>
    <t>اصول E.S.B. للوساطة في الاوراق المالية</t>
  </si>
  <si>
    <t>العربية لمنتجات الألبان" آراب ديرى - باندا"</t>
  </si>
  <si>
    <t>المصريه لمدينة الانتاج الاعلامى</t>
  </si>
  <si>
    <t>سماد مصر (ايجيفرت)</t>
  </si>
  <si>
    <t>العربية للصناعات الهندسية</t>
  </si>
  <si>
    <t>المصرية لخدمات النقل (ايجيترانس)</t>
  </si>
  <si>
    <t>خدمات النقل والشحن</t>
  </si>
  <si>
    <t>الاسكندرية لتداول الحاويات والبضائع</t>
  </si>
  <si>
    <t>اوراسكوم كونستراكشون بي ال سي</t>
  </si>
  <si>
    <t>بى انفستمنتس القابضه</t>
  </si>
  <si>
    <t>الوادى العالمية للاستثمار و التنمية</t>
  </si>
  <si>
    <t>جهينة للصناعات الغذائية</t>
  </si>
  <si>
    <t>ايديتا للصناعات الغذائية</t>
  </si>
  <si>
    <t>العربية للاسمنت</t>
  </si>
  <si>
    <t>كونتكت المالية القابضة</t>
  </si>
  <si>
    <t>ماكرو جروب للمستحضرات الطبية-ماكرو كابيتال</t>
  </si>
  <si>
    <t>المالية و الصناعية المصرية</t>
  </si>
  <si>
    <t>العربية لاستصلاح الاراضي</t>
  </si>
  <si>
    <t>الكابلات الكهربائية المصرية</t>
  </si>
  <si>
    <t>نهر الخير للتنمية والأستثمار الزراعى والخدمات البيئية</t>
  </si>
  <si>
    <t>بايونيرز بروبرتيز للتنمية العمرانية بي ار اي جروب</t>
  </si>
  <si>
    <t>جدوى للتنمية الصناعية</t>
  </si>
  <si>
    <t>المصرية لنظم التعليم الحديثة</t>
  </si>
  <si>
    <t>العامة لاستصلاح الاراضي و التنمية و التعمير</t>
  </si>
  <si>
    <t>وادي كوم امبو لاستصلاح الاراضي</t>
  </si>
  <si>
    <t>الاسماعيلية مصر للدواجن</t>
  </si>
  <si>
    <t>ارابيا انفستمنتس هولدنج</t>
  </si>
  <si>
    <t>الدوليه للمحاصيل الزراعيه</t>
  </si>
  <si>
    <t>الخليجية الكندية للاستثمار العقاري العربي</t>
  </si>
  <si>
    <t>العربيه وبولفارا للغزل والنسيج - يونيراب</t>
  </si>
  <si>
    <t>الصعيد العامة للمقاولات والاستثمار العقاري SCCD</t>
  </si>
  <si>
    <t>المشروعات الصناعية والهندسية</t>
  </si>
  <si>
    <t>كرستمارك للمقاولات والتطوير العقاري</t>
  </si>
  <si>
    <t>بنك قناة السويس شركة مساهمة مصرية</t>
  </si>
  <si>
    <t>بنك التعمير والاسكان</t>
  </si>
  <si>
    <t>(مجموعة عامر القابضة (عامر جروب</t>
  </si>
  <si>
    <t>مصر الوطنية للصلب - عتاقة</t>
  </si>
  <si>
    <t>بالم هيلز للتعمير</t>
  </si>
  <si>
    <t>الاهرام للطباعة و التغليف</t>
  </si>
  <si>
    <t>اسيك للتعدين - اسكوم</t>
  </si>
  <si>
    <t>مينا فارم للأدوية و الصناعات الكيماوية</t>
  </si>
  <si>
    <t>سيدى كرير للبتروكيماويات - سيدبك</t>
  </si>
  <si>
    <t>مجموعة جى . أم . سى للاستثمارات الصناعية و التجارية المالية</t>
  </si>
  <si>
    <t>السويدى اليكتريك</t>
  </si>
  <si>
    <t>الشرقية - ايسترن كومباني</t>
  </si>
  <si>
    <t>المصرية الدولية للصناعات الدوائية - ايبيكو</t>
  </si>
  <si>
    <t>يونيفرسال لصناعة مواد التعبئة و التغليف و الورق - يونيباك</t>
  </si>
  <si>
    <t>مصر لصناعة الكيماويات</t>
  </si>
  <si>
    <t>ممفيس للادوية والصناعات الكيماوية</t>
  </si>
  <si>
    <t>الاسكندرية للادوية والصناعات الكيماوية</t>
  </si>
  <si>
    <t>النيل للادوية والصناعات الكيماوية - النيل</t>
  </si>
  <si>
    <t>EAC المصرية العربية (ثمار) لتداول الاوراق المالية والسندات</t>
  </si>
  <si>
    <t>النصر لتصنيع الحاصلات الزراعية</t>
  </si>
  <si>
    <t>جى بى كوربوريشن</t>
  </si>
  <si>
    <t>سى اى كابيتال القابضة للاستثمارات المالية</t>
  </si>
  <si>
    <t>مجموعة طلعت مصطفى القابضة</t>
  </si>
  <si>
    <t>برايم القابضة للاستثمارات المالية</t>
  </si>
  <si>
    <t>العروبة للسمسرة فى الأوراق المالية</t>
  </si>
  <si>
    <t>دلتا للطباعة والتغليف</t>
  </si>
  <si>
    <t>اسباير كابيتال القابضة للاستثمارات المالية</t>
  </si>
  <si>
    <t>دايس للملابس الجاهزة</t>
  </si>
  <si>
    <t>الاسكندرية للزيوت المعدنية</t>
  </si>
  <si>
    <t>طاقة وخدمات مساندة</t>
  </si>
  <si>
    <t>العامة للصوامع والتخزين</t>
  </si>
  <si>
    <t>مطاحن ومخابز جنوب القاهرة والجيزة</t>
  </si>
  <si>
    <t>القاهرة للزيوت والصابون</t>
  </si>
  <si>
    <t>الاسكندرية للغزل والنسيج (سبينالكس)</t>
  </si>
  <si>
    <t>جولدن تكس للاصواف</t>
  </si>
  <si>
    <t>النصر للملابس والمنسوجات - كابو</t>
  </si>
  <si>
    <t>المصريين للاسكان والتنمية والتعمير</t>
  </si>
  <si>
    <t>مينا للاستثمار السياحي والعقاري</t>
  </si>
  <si>
    <t>مصر للزيوت و الصابون</t>
  </si>
  <si>
    <t>كفر الزيات للمبيدات والكيماويات</t>
  </si>
  <si>
    <t>العامة لمنتجات الخزف والصيني</t>
  </si>
  <si>
    <t>العز للسيراميك و البورسلين - الجوهره</t>
  </si>
  <si>
    <t>العربية للخزف - سيراميكا ريماس</t>
  </si>
  <si>
    <t>مصر بنى سويف للاسمنت</t>
  </si>
  <si>
    <t>جنوب الوادى للاسمنت</t>
  </si>
  <si>
    <t>الشرقية الوطنية للامن الغذائي</t>
  </si>
  <si>
    <t>بنك فيصل الاسلامي المصرية بالجنية</t>
  </si>
  <si>
    <t>الاستثمار العقاري العربي - اليكو</t>
  </si>
  <si>
    <t>الاهلي للتنمية والاستثمار</t>
  </si>
  <si>
    <t>القاهرة الوطنية للاستثمار والاوراق المالية</t>
  </si>
  <si>
    <t>الوطنية للاسكان للنقابات المهنية</t>
  </si>
  <si>
    <t>التعمير والاستشارات الهندسية</t>
  </si>
  <si>
    <t>القاهرة للاسكان والتعمير</t>
  </si>
  <si>
    <t>المتحدة للاسكان والتعمير</t>
  </si>
  <si>
    <t>رواد السياحة - الرواد</t>
  </si>
  <si>
    <t>بيراميزا للفنادق والقرى السياحية - بيراميزا</t>
  </si>
  <si>
    <t>المصرية للمنتجعات السياحية</t>
  </si>
  <si>
    <t>كوبر للاستثمار التجارى و التطوير العقارى</t>
  </si>
  <si>
    <t>مصر الجديدة للاسكان والتعمير</t>
  </si>
  <si>
    <t>العبور للاستثمار العقارى</t>
  </si>
  <si>
    <t>القاهره للإستثمار و التنمية العقاريه سيرا للتعليم</t>
  </si>
  <si>
    <t>السعودية المصرية للاستثمار والتمويل</t>
  </si>
  <si>
    <t>الملتقي العربي للاستثمارات</t>
  </si>
  <si>
    <t>الاسكندريه الوطنيه للاستثمارات الماليه</t>
  </si>
  <si>
    <t>الحديد والصلب المصرية</t>
  </si>
  <si>
    <t>الصناعات الغذائية العربية-دومتى</t>
  </si>
  <si>
    <t>الاسكندرية للخدمات الطبية - المركز الطبى الجديد - الاسكندرية</t>
  </si>
  <si>
    <t>القاهرة للخدمات التعليمية</t>
  </si>
  <si>
    <t>شمال الصعيد للتنمية والانتاج الزراعى (نيوداب)</t>
  </si>
  <si>
    <t>بنك كريدي اجريكول مصر</t>
  </si>
  <si>
    <t>الصناعات الهندسية المعمارية للانشاء والتعمير - ايكون</t>
  </si>
  <si>
    <t>القناة للتوكيلات الملاحية</t>
  </si>
  <si>
    <t>راية لخدمات مراكز الاتصالات</t>
  </si>
  <si>
    <t>A.T.LEASEالتوفيق للتأجير التمويلي -أية.تي.ليس</t>
  </si>
  <si>
    <t>إعمار مصر للتنمية</t>
  </si>
  <si>
    <t>مصر لإنتاج الأسمدة - موبكو</t>
  </si>
  <si>
    <t>المطورون العرب القابضة</t>
  </si>
  <si>
    <t>البنك التجاري الدولي -مصر (سى اى بى )</t>
  </si>
  <si>
    <t>مصرف أبو ظبي الأسلامي- مصر</t>
  </si>
  <si>
    <t>بنك البركة مصر</t>
  </si>
  <si>
    <t>جراند انفستمنت القابضة للاستثمارات المالية</t>
  </si>
  <si>
    <t>الاسماعيلية الجديدة للتطوير والتنمية العمرانية-شركة منقسمة</t>
  </si>
  <si>
    <t>القلعة للاستثمارات المالية</t>
  </si>
  <si>
    <t>اوراسكوم للاستثمار القابضه</t>
  </si>
  <si>
    <t>اطلس للاستثمار والصناعات الغذائية</t>
  </si>
  <si>
    <t>سبأ الدولية للأدوية والصناعات الكيماوية</t>
  </si>
  <si>
    <t>EGX 30 INDEX ETF-وثائق استثمار شركة صناديق المؤشرات</t>
  </si>
  <si>
    <t>عبور لاند للصناعات الغذائية</t>
  </si>
  <si>
    <t>شركة مستشفي كليوباترا</t>
  </si>
  <si>
    <t>او بي المالية القابضة</t>
  </si>
  <si>
    <t>الشركة العربية لادارة وتطوير الاصول</t>
  </si>
  <si>
    <t>الحديد والصلب للمناجم والمحاجر</t>
  </si>
  <si>
    <t>فالمور القابضة للاستثماربالجنية</t>
  </si>
  <si>
    <t>العاشر من رمضان للصناعات الدوائية والمستحضرات تشخيصية-راميدا</t>
  </si>
  <si>
    <t>تنمية للاستثمار العقاري</t>
  </si>
  <si>
    <t>فوري لتكنولوجيا البنوك والمدفوعات الالكترونية</t>
  </si>
  <si>
    <t>وثائق صندوق استثمار أودن للاستثمار في الاسهم المصرية -كسب</t>
  </si>
  <si>
    <t>وثائق شركة صندوق استثمار المصريين للاستثمار العقارى</t>
  </si>
  <si>
    <t>Taaleem Management Services تعليم لخدمات الإدارة</t>
  </si>
  <si>
    <t>TMGH</t>
  </si>
  <si>
    <t>طلعت مصطفى</t>
  </si>
  <si>
    <t>SWDY</t>
  </si>
  <si>
    <t>السويدي</t>
  </si>
  <si>
    <t>ETEL</t>
  </si>
  <si>
    <t>EAST</t>
  </si>
  <si>
    <t>ايسترن كومباني</t>
  </si>
  <si>
    <t>EGAL</t>
  </si>
  <si>
    <t>MFPC</t>
  </si>
  <si>
    <t>موبكو</t>
  </si>
  <si>
    <t>QNBE</t>
  </si>
  <si>
    <t>ABUK</t>
  </si>
  <si>
    <t>أبو قير للأسمدة</t>
  </si>
  <si>
    <t>EFIH</t>
  </si>
  <si>
    <t>اي فاينانس</t>
  </si>
  <si>
    <t>ALCN</t>
  </si>
  <si>
    <t>الإسكندرية للحاويات</t>
  </si>
  <si>
    <t>FWRY</t>
  </si>
  <si>
    <t>فوري</t>
  </si>
  <si>
    <t>ORAS</t>
  </si>
  <si>
    <t>أوراسكوم للإنشاءات</t>
  </si>
  <si>
    <t>HDBK</t>
  </si>
  <si>
    <t>بنك التعمير</t>
  </si>
  <si>
    <t>EMFD</t>
  </si>
  <si>
    <t>إعمار مصر</t>
  </si>
  <si>
    <t>ADIB</t>
  </si>
  <si>
    <t>أبو ظبي الإسلامي</t>
  </si>
  <si>
    <t>HRHO</t>
  </si>
  <si>
    <t>هيرمس</t>
  </si>
  <si>
    <t>EFID</t>
  </si>
  <si>
    <t>إيديتا للصناعات الغذائية</t>
  </si>
  <si>
    <t>GPPL</t>
  </si>
  <si>
    <t>جولدن بيراميدز بلازا</t>
  </si>
  <si>
    <t>IRON</t>
  </si>
  <si>
    <t>الحديد والصلب</t>
  </si>
  <si>
    <t>JUFO</t>
  </si>
  <si>
    <t>جهينة الغذائية</t>
  </si>
  <si>
    <t>BTFH</t>
  </si>
  <si>
    <t>بلتون المالية القابضة</t>
  </si>
  <si>
    <t>GBCO</t>
  </si>
  <si>
    <t>جي بي أوتو</t>
  </si>
  <si>
    <t>CIEB</t>
  </si>
  <si>
    <t>كريدي أجريكول</t>
  </si>
  <si>
    <t>ORHD</t>
  </si>
  <si>
    <t>أوراسكوم للتنمية</t>
  </si>
  <si>
    <t>FAITA</t>
  </si>
  <si>
    <t>بنك فيصل - بالدولار</t>
  </si>
  <si>
    <t>CANA</t>
  </si>
  <si>
    <t>بنك قناة السويس</t>
  </si>
  <si>
    <t>PHDC</t>
  </si>
  <si>
    <t>بالم هيلز</t>
  </si>
  <si>
    <t>OCDI</t>
  </si>
  <si>
    <t>سوديك</t>
  </si>
  <si>
    <t>SCTS</t>
  </si>
  <si>
    <t>EGCH</t>
  </si>
  <si>
    <t>كيما</t>
  </si>
  <si>
    <t>VALU</t>
  </si>
  <si>
    <t>ڤاليو</t>
  </si>
  <si>
    <t>EXPA</t>
  </si>
  <si>
    <t>المصري لتنمية الصادرات</t>
  </si>
  <si>
    <t>EFIC</t>
  </si>
  <si>
    <t>المالية والصناعية</t>
  </si>
  <si>
    <t>RAYA</t>
  </si>
  <si>
    <t>راية القابضة</t>
  </si>
  <si>
    <t>CLHO</t>
  </si>
  <si>
    <t>مستشفي كليوباترا</t>
  </si>
  <si>
    <t>ARCC</t>
  </si>
  <si>
    <t>العربية للأسمنت</t>
  </si>
  <si>
    <t>SKPC</t>
  </si>
  <si>
    <t>سيدي كرير</t>
  </si>
  <si>
    <t>TAQA</t>
  </si>
  <si>
    <t>MCQE</t>
  </si>
  <si>
    <t>قنا</t>
  </si>
  <si>
    <t>SCEM</t>
  </si>
  <si>
    <t>أسمنت سيناء</t>
  </si>
  <si>
    <t>CCAP</t>
  </si>
  <si>
    <t>القلعة للاستشارات المالية</t>
  </si>
  <si>
    <t>HELI</t>
  </si>
  <si>
    <t>MTIE</t>
  </si>
  <si>
    <t>ام.ام جروب</t>
  </si>
  <si>
    <t>MBSC</t>
  </si>
  <si>
    <t>مصر بنى سويف للأسمنت</t>
  </si>
  <si>
    <t>ORWE</t>
  </si>
  <si>
    <t>النساجون الشرقيون</t>
  </si>
  <si>
    <t>UBEE</t>
  </si>
  <si>
    <t>POUL</t>
  </si>
  <si>
    <t>PHAR</t>
  </si>
  <si>
    <t>ايبيكو</t>
  </si>
  <si>
    <t>SAUD</t>
  </si>
  <si>
    <t>بنك البركة</t>
  </si>
  <si>
    <t>ISPH</t>
  </si>
  <si>
    <t>ابن سينا</t>
  </si>
  <si>
    <t>EGSA</t>
  </si>
  <si>
    <t>نايل سات</t>
  </si>
  <si>
    <t>TALM</t>
  </si>
  <si>
    <t>تعليم لخدمات الإدارة</t>
  </si>
  <si>
    <t>MASR</t>
  </si>
  <si>
    <t>مدينة نصر للاسكان</t>
  </si>
  <si>
    <t>CICH</t>
  </si>
  <si>
    <t>سي آي كابيتال</t>
  </si>
  <si>
    <t>ATQA</t>
  </si>
  <si>
    <t>عتاقة</t>
  </si>
  <si>
    <t>CIRA</t>
  </si>
  <si>
    <t>القاهرة للاستثمار</t>
  </si>
  <si>
    <t>MOIL</t>
  </si>
  <si>
    <t>ماريديف</t>
  </si>
  <si>
    <t>EGBE</t>
  </si>
  <si>
    <t>البنك المصري الخليجي</t>
  </si>
  <si>
    <t>IFAP</t>
  </si>
  <si>
    <t>الدولية للمحاصيل</t>
  </si>
  <si>
    <t>CSAG</t>
  </si>
  <si>
    <t>القناة للتوكيلات</t>
  </si>
  <si>
    <t>MHOT</t>
  </si>
  <si>
    <t>AMOC</t>
  </si>
  <si>
    <t>أموك</t>
  </si>
  <si>
    <t>OLFI</t>
  </si>
  <si>
    <t>عبور لاند الغذائية</t>
  </si>
  <si>
    <t>BINV</t>
  </si>
  <si>
    <t>بي إنفستمنتس القابضة</t>
  </si>
  <si>
    <t>EGTS</t>
  </si>
  <si>
    <t>المصرية للمنتجعات</t>
  </si>
  <si>
    <t>ELEC</t>
  </si>
  <si>
    <t>الكابلات الكهربائية</t>
  </si>
  <si>
    <t>RMDA</t>
  </si>
  <si>
    <t>راميدا</t>
  </si>
  <si>
    <t>ISMQ</t>
  </si>
  <si>
    <t>DOMT</t>
  </si>
  <si>
    <t>دومتي</t>
  </si>
  <si>
    <t>SUGR</t>
  </si>
  <si>
    <t>AMES</t>
  </si>
  <si>
    <t>الاسكندرية للخدمات الطبية</t>
  </si>
  <si>
    <t>OIH</t>
  </si>
  <si>
    <t>أوراسكوم للاستثمار</t>
  </si>
  <si>
    <t>BONY</t>
  </si>
  <si>
    <t>بونى</t>
  </si>
  <si>
    <t>EGAS</t>
  </si>
  <si>
    <t>MOIN</t>
  </si>
  <si>
    <t>ACAP</t>
  </si>
  <si>
    <t>ايه كابيتال القابضة</t>
  </si>
  <si>
    <t>BIOC</t>
  </si>
  <si>
    <t>ZMID</t>
  </si>
  <si>
    <t>زهراء المعادي</t>
  </si>
  <si>
    <t>CNFN</t>
  </si>
  <si>
    <t>كونتكت المالية</t>
  </si>
  <si>
    <t>NIPH</t>
  </si>
  <si>
    <t>النيل</t>
  </si>
  <si>
    <t>SPIN</t>
  </si>
  <si>
    <t>سبينالكس</t>
  </si>
  <si>
    <t>MPRC</t>
  </si>
  <si>
    <t>مدينة الإنتاج الإعلامي</t>
  </si>
  <si>
    <t>ENGC</t>
  </si>
  <si>
    <t>ايكون</t>
  </si>
  <si>
    <t>DSCW</t>
  </si>
  <si>
    <t>دايس</t>
  </si>
  <si>
    <t>MIPH</t>
  </si>
  <si>
    <t>مينا فارم للأودية</t>
  </si>
  <si>
    <t>GDWA</t>
  </si>
  <si>
    <t>SPHT</t>
  </si>
  <si>
    <t>الشمس بيراميدز للمنشات السياحية</t>
  </si>
  <si>
    <t>NAPR</t>
  </si>
  <si>
    <t>PRDC</t>
  </si>
  <si>
    <t>PHTV</t>
  </si>
  <si>
    <t>بيراميزا</t>
  </si>
  <si>
    <t>GSSC</t>
  </si>
  <si>
    <t>العامة للصوامع</t>
  </si>
  <si>
    <t>SVCE</t>
  </si>
  <si>
    <t>جنوب الوادى للأسمنت</t>
  </si>
  <si>
    <t>AXPH</t>
  </si>
  <si>
    <t>الاسكندرية للأدوية</t>
  </si>
  <si>
    <t>WCDF</t>
  </si>
  <si>
    <t>CPCI</t>
  </si>
  <si>
    <t>القاهرة للأدوية</t>
  </si>
  <si>
    <t>KABO</t>
  </si>
  <si>
    <t>كابو</t>
  </si>
  <si>
    <t>الرمز</t>
  </si>
  <si>
    <t>اسم الشركة1</t>
  </si>
  <si>
    <t>اسم الشركة2</t>
  </si>
  <si>
    <t>اسم الشركة (طويل)</t>
  </si>
  <si>
    <t>اسم الشركة (قصير)</t>
  </si>
  <si>
    <t>MICH</t>
  </si>
  <si>
    <t>NCCW</t>
  </si>
  <si>
    <t>COPR</t>
  </si>
  <si>
    <t>RACC</t>
  </si>
  <si>
    <t>ACTF</t>
  </si>
  <si>
    <t>تفاصيل إضافية للشركة</t>
  </si>
  <si>
    <t>اودن للاستثمارات المالية</t>
  </si>
  <si>
    <t>المصرية للأقمار الصناعية (نايل سات)</t>
  </si>
  <si>
    <t>جيتكس للاستثمارات التجارية والصناعية</t>
  </si>
  <si>
    <t>النعيم القابضة للاستثمارات</t>
  </si>
  <si>
    <t>القابضة المصرية الكويتية</t>
  </si>
  <si>
    <t>دمياط لتداول الحاويات و البضائع</t>
  </si>
  <si>
    <t>بنك الشركة المصرفية العربية الدولية- شركة مساهمة مصرية</t>
  </si>
  <si>
    <t>القلعة للاستثمارات المالية - اسهم ممتازة</t>
  </si>
  <si>
    <t>القابضة المصرية الكويتية بالجنية</t>
  </si>
  <si>
    <t>مجموعة الأهلى للزراعات الحديثة</t>
  </si>
  <si>
    <t>قرة لمشروعات الطاقة والاستثمار</t>
  </si>
  <si>
    <t>كاتليست بارتنرز ميديل ايست</t>
  </si>
  <si>
    <t>الدولية للتأجير التمويلي (إنكوليس)</t>
  </si>
  <si>
    <t>بنك فيصل الاسلامي المصري - بالدولار</t>
  </si>
  <si>
    <t>ريكاب للاستثمارات المالية</t>
  </si>
  <si>
    <t>كونكريت فاشون جروب للاستثمارات التجارية والصناعية</t>
  </si>
  <si>
    <t>المصريين للاستثمار والتنمية العمرانية</t>
  </si>
  <si>
    <t>الشرق الأوسط لصناعة الزجاج</t>
  </si>
  <si>
    <t>الورق للشرق الاوسط - سيمو</t>
  </si>
  <si>
    <t>الحفر الوطنية</t>
  </si>
  <si>
    <t>الشمس بيراميدز للفنادق والمنشأت السياحية</t>
  </si>
  <si>
    <t>الدلتا للتأمين</t>
  </si>
  <si>
    <t>السعودية المصرية للاستثمار والتمويل $</t>
  </si>
  <si>
    <t>عبر المحيطات للسياحه</t>
  </si>
  <si>
    <t>بورسعيد لتداول الحاويات والبضائع</t>
  </si>
  <si>
    <t>الخدمات الملاحية والبترولية - ماريديف</t>
  </si>
  <si>
    <t>مرسى مرسى علم للتنمية السياحية</t>
  </si>
  <si>
    <t>بنك القاهرة</t>
  </si>
  <si>
    <t>MAAL</t>
  </si>
  <si>
    <t>MOED</t>
  </si>
  <si>
    <t>GGCC</t>
  </si>
  <si>
    <t>DAPH</t>
  </si>
  <si>
    <t>FAIT</t>
  </si>
  <si>
    <t>GTEX</t>
  </si>
  <si>
    <t>LUTS</t>
  </si>
  <si>
    <t>WKOL</t>
  </si>
  <si>
    <t>AIH</t>
  </si>
  <si>
    <t>APSW</t>
  </si>
  <si>
    <t>UEGC</t>
  </si>
  <si>
    <t>NAHO</t>
  </si>
  <si>
    <t>ASCM</t>
  </si>
  <si>
    <t>ZEOT</t>
  </si>
  <si>
    <t>MPCI</t>
  </si>
  <si>
    <t>EASB</t>
  </si>
  <si>
    <t>EOSB</t>
  </si>
  <si>
    <t>OCPH</t>
  </si>
  <si>
    <t>EDFM</t>
  </si>
  <si>
    <t>SCFM</t>
  </si>
  <si>
    <t>MENA</t>
  </si>
  <si>
    <t>KZPC</t>
  </si>
  <si>
    <t>RUBX</t>
  </si>
  <si>
    <t>LCSW</t>
  </si>
  <si>
    <t>AJWA</t>
  </si>
  <si>
    <t>AFDI</t>
  </si>
  <si>
    <t>EKHO</t>
  </si>
  <si>
    <t>ELSH</t>
  </si>
  <si>
    <t>UNIT</t>
  </si>
  <si>
    <t>RTVC</t>
  </si>
  <si>
    <t>OBRI</t>
  </si>
  <si>
    <t>AMIA</t>
  </si>
  <si>
    <t>ANFI</t>
  </si>
  <si>
    <t>ADPC</t>
  </si>
  <si>
    <t>SMFR</t>
  </si>
  <si>
    <t>EEII</t>
  </si>
  <si>
    <t>ETRS</t>
  </si>
  <si>
    <t>DCCC</t>
  </si>
  <si>
    <t>SAIB</t>
  </si>
  <si>
    <t>IDRE</t>
  </si>
  <si>
    <t>CCAPP</t>
  </si>
  <si>
    <t>AIFI</t>
  </si>
  <si>
    <t>OFH</t>
  </si>
  <si>
    <t>EKHOA</t>
  </si>
  <si>
    <t>TANM</t>
  </si>
  <si>
    <t>DGTZ</t>
  </si>
  <si>
    <t>MBEG</t>
  </si>
  <si>
    <t>AAGR</t>
  </si>
  <si>
    <t>GGRN</t>
  </si>
  <si>
    <t>KORA</t>
  </si>
  <si>
    <t>ICFC</t>
  </si>
  <si>
    <t>CPME</t>
  </si>
  <si>
    <t>SDTI</t>
  </si>
  <si>
    <t>AALR</t>
  </si>
  <si>
    <t>INFI</t>
  </si>
  <si>
    <t>ISMA</t>
  </si>
  <si>
    <t>MPCO</t>
  </si>
  <si>
    <t>CCRS</t>
  </si>
  <si>
    <t>ICLE</t>
  </si>
  <si>
    <t>IEEC</t>
  </si>
  <si>
    <t>CRST</t>
  </si>
  <si>
    <t>EPCO</t>
  </si>
  <si>
    <t>AMER</t>
  </si>
  <si>
    <t>REAC</t>
  </si>
  <si>
    <t>CFGH</t>
  </si>
  <si>
    <t>EIUD</t>
  </si>
  <si>
    <t>MEGM</t>
  </si>
  <si>
    <t>EPPK</t>
  </si>
  <si>
    <t>GMCI</t>
  </si>
  <si>
    <t>SIMO</t>
  </si>
  <si>
    <t>RAKT</t>
  </si>
  <si>
    <t>UNIP</t>
  </si>
  <si>
    <t>ELNA</t>
  </si>
  <si>
    <t>ARVA</t>
  </si>
  <si>
    <t>PRMH</t>
  </si>
  <si>
    <t>NDRL</t>
  </si>
  <si>
    <t>DTPP</t>
  </si>
  <si>
    <t>ASPI</t>
  </si>
  <si>
    <t>MILS</t>
  </si>
  <si>
    <t>AFMC</t>
  </si>
  <si>
    <t>UEFM</t>
  </si>
  <si>
    <t>CEFM</t>
  </si>
  <si>
    <t>COSG</t>
  </si>
  <si>
    <t>GTWL</t>
  </si>
  <si>
    <t>ACGC</t>
  </si>
  <si>
    <t>EHDR</t>
  </si>
  <si>
    <t>ADCI</t>
  </si>
  <si>
    <t>MOSC</t>
  </si>
  <si>
    <t>PRCL</t>
  </si>
  <si>
    <t>ECAP</t>
  </si>
  <si>
    <t>CERA</t>
  </si>
  <si>
    <t>SNFC</t>
  </si>
  <si>
    <t>RREI</t>
  </si>
  <si>
    <t>KWIN</t>
  </si>
  <si>
    <t>DEIN</t>
  </si>
  <si>
    <t>NHPS</t>
  </si>
  <si>
    <t>ELKA</t>
  </si>
  <si>
    <t>AREH</t>
  </si>
  <si>
    <t>ROTO</t>
  </si>
  <si>
    <t>NINH</t>
  </si>
  <si>
    <t>GIHD</t>
  </si>
  <si>
    <t>EALR</t>
  </si>
  <si>
    <t>SEIG</t>
  </si>
  <si>
    <t>SEIGA</t>
  </si>
  <si>
    <t>ICID</t>
  </si>
  <si>
    <t>ODIN</t>
  </si>
  <si>
    <t>EBSC</t>
  </si>
  <si>
    <t>ALUM</t>
  </si>
  <si>
    <t>CAED</t>
  </si>
  <si>
    <t>TRTO</t>
  </si>
  <si>
    <t>NEDA</t>
  </si>
  <si>
    <t>MFSC</t>
  </si>
  <si>
    <t>POCO</t>
  </si>
  <si>
    <t>ATLC</t>
  </si>
  <si>
    <t>ARAB</t>
  </si>
  <si>
    <t>COMI</t>
  </si>
  <si>
    <t>GRCA</t>
  </si>
  <si>
    <t>ELWA</t>
  </si>
  <si>
    <t>MMAT</t>
  </si>
  <si>
    <t>MEPA</t>
  </si>
  <si>
    <t>SIPC</t>
  </si>
  <si>
    <t>EGX30ETF</t>
  </si>
  <si>
    <t>BQDC</t>
  </si>
  <si>
    <t>ACAMD</t>
  </si>
  <si>
    <t>MCRO</t>
  </si>
  <si>
    <t>SPMD</t>
  </si>
  <si>
    <t>KASABF</t>
  </si>
  <si>
    <t>EGREF</t>
  </si>
  <si>
    <t>KRDI</t>
  </si>
  <si>
    <t>GOUR</t>
  </si>
  <si>
    <t>FACT</t>
  </si>
  <si>
    <t>NARE</t>
  </si>
  <si>
    <t>PHGC</t>
  </si>
  <si>
    <t>AIDC</t>
  </si>
  <si>
    <t>GPED</t>
  </si>
  <si>
    <t>اسم الشركة</t>
  </si>
  <si>
    <t>اخر سعر</t>
  </si>
  <si>
    <t>عالي</t>
  </si>
  <si>
    <t>منخفض</t>
  </si>
  <si>
    <t>الحجم</t>
  </si>
  <si>
    <t>التغير %</t>
  </si>
  <si>
    <t>آخر</t>
  </si>
  <si>
    <t>VLMRA</t>
  </si>
  <si>
    <t>كود ISIN</t>
  </si>
  <si>
    <t>EGS675S1C011</t>
  </si>
  <si>
    <t>EGS676N1C015</t>
  </si>
  <si>
    <t>EGS681D1C010</t>
  </si>
  <si>
    <t>EGS69491M015</t>
  </si>
  <si>
    <t>EGS597R1C017</t>
  </si>
  <si>
    <t>EGS221V1C015</t>
  </si>
  <si>
    <t>EGS673Y1C015</t>
  </si>
  <si>
    <t>EGS512O1C012</t>
  </si>
  <si>
    <t>EGS38191C010</t>
  </si>
  <si>
    <t>EGS30211C014</t>
  </si>
  <si>
    <t>EGS21351C019</t>
  </si>
  <si>
    <t>EGS65R01C015</t>
  </si>
  <si>
    <t>EGS691L1C018</t>
  </si>
  <si>
    <t>EGS3C401C014</t>
  </si>
  <si>
    <t>EGS10001C013</t>
  </si>
  <si>
    <t>EGS68181C014</t>
  </si>
  <si>
    <t>EGS071L1C018</t>
  </si>
  <si>
    <t>EGS7D5P1C019</t>
  </si>
  <si>
    <t>EGS380R1C018</t>
  </si>
  <si>
    <t>EGS65011C016</t>
  </si>
  <si>
    <t>EGS42111C012</t>
  </si>
  <si>
    <t>EGS38341C011</t>
  </si>
  <si>
    <t>EGS72081C010</t>
  </si>
  <si>
    <t>EGS380P1C010</t>
  </si>
  <si>
    <t>EGS32041C013</t>
  </si>
  <si>
    <t>EGS67331C016</t>
  </si>
  <si>
    <t>EGS214Q1C011</t>
  </si>
  <si>
    <t>EGS01041C010</t>
  </si>
  <si>
    <t>EGS02021C011</t>
  </si>
  <si>
    <t>EGS3D031C018</t>
  </si>
  <si>
    <t>EGS360A1C011</t>
  </si>
  <si>
    <t>EGS69021C011</t>
  </si>
  <si>
    <t>EGS60121C018</t>
  </si>
  <si>
    <t>EGS60182C010</t>
  </si>
  <si>
    <t>EGS60241C014</t>
  </si>
  <si>
    <t>EGS65081C019</t>
  </si>
  <si>
    <t>EGS21541C015</t>
  </si>
  <si>
    <t>EGS3D061C015</t>
  </si>
  <si>
    <t>EGS102S1C014</t>
  </si>
  <si>
    <t>EGS735N2C012</t>
  </si>
  <si>
    <t>EGS44012C010</t>
  </si>
  <si>
    <t>EGS651B1C018</t>
  </si>
  <si>
    <t>EGS63031C016</t>
  </si>
  <si>
    <t>EGS30201C015</t>
  </si>
  <si>
    <t>EGS520D1C015</t>
  </si>
  <si>
    <t>EGS67001C015</t>
  </si>
  <si>
    <t>EGS07061C012</t>
  </si>
  <si>
    <t>EGS38251C012</t>
  </si>
  <si>
    <t>EGS65851C015</t>
  </si>
  <si>
    <t>EGS67031C012</t>
  </si>
  <si>
    <t>EGS67032C010</t>
  </si>
  <si>
    <t>EGS3G0Z1C014</t>
  </si>
  <si>
    <t>EGS3C001C012</t>
  </si>
  <si>
    <t>EGS37091C013</t>
  </si>
  <si>
    <t>EGS30291C016</t>
  </si>
  <si>
    <t>EGS72AQ1C016</t>
  </si>
  <si>
    <t>EGS70H02C014</t>
  </si>
  <si>
    <t>EGS65091C018</t>
  </si>
  <si>
    <t>EGS21531C016</t>
  </si>
  <si>
    <t>EGS30031C016</t>
  </si>
  <si>
    <t>EGS38201C017</t>
  </si>
  <si>
    <t>EGS3F021C017</t>
  </si>
  <si>
    <t>EGS381B1C015</t>
  </si>
  <si>
    <t>EGS67191C014</t>
  </si>
  <si>
    <t>EGS01081C016</t>
  </si>
  <si>
    <t>EGS36021C011</t>
  </si>
  <si>
    <t>EGS30441C017</t>
  </si>
  <si>
    <t>EGS3C111C019</t>
  </si>
  <si>
    <t>EGS3C4L1C015</t>
  </si>
  <si>
    <t>EGS65551C011</t>
  </si>
  <si>
    <t>EGS65771C015</t>
  </si>
  <si>
    <t>EGS32221C011</t>
  </si>
  <si>
    <t>EGS38321C013</t>
  </si>
  <si>
    <t>EGS3C0O1C016</t>
  </si>
  <si>
    <t>EGS3C151C015</t>
  </si>
  <si>
    <t>EGS3G111C015</t>
  </si>
  <si>
    <t>EGS3E1E1C013</t>
  </si>
  <si>
    <t>EGS30221C013</t>
  </si>
  <si>
    <t>EGS32331C018</t>
  </si>
  <si>
    <t>EGS681I1C015</t>
  </si>
  <si>
    <t>EGS3C071C015</t>
  </si>
  <si>
    <t>EGS65461C013</t>
  </si>
  <si>
    <t>EGS69011C012</t>
  </si>
  <si>
    <t>EGS38391C016</t>
  </si>
  <si>
    <t>EGS65071C010</t>
  </si>
  <si>
    <t>EGS72201C014</t>
  </si>
  <si>
    <t>EGS02051C018</t>
  </si>
  <si>
    <t>EGS30581C010</t>
  </si>
  <si>
    <t>EGS65541C012</t>
  </si>
  <si>
    <t>EGS73541C012</t>
  </si>
  <si>
    <t>EGS73541P048</t>
  </si>
  <si>
    <t>EGS44031C010</t>
  </si>
  <si>
    <t>EGS3G231C011</t>
  </si>
  <si>
    <t>EGS38381C017</t>
  </si>
  <si>
    <t>EGS65061C011</t>
  </si>
  <si>
    <t>EGS65211C012</t>
  </si>
  <si>
    <t>EGS22171C010</t>
  </si>
  <si>
    <t>EGS600M1C017</t>
  </si>
  <si>
    <t>EGS38081C013</t>
  </si>
  <si>
    <t>EGS42051C010</t>
  </si>
  <si>
    <t>EGS48022C015</t>
  </si>
  <si>
    <t>EGS48031C016</t>
  </si>
  <si>
    <t>EGS02211C018</t>
  </si>
  <si>
    <t>EGS70431C019</t>
  </si>
  <si>
    <t>EGS729F1C012</t>
  </si>
  <si>
    <t>EGS78021C010</t>
  </si>
  <si>
    <t>EGS65341C017</t>
  </si>
  <si>
    <t>EGS694A1C018</t>
  </si>
  <si>
    <t>EGS67221C019</t>
  </si>
  <si>
    <t>EGS02091C014</t>
  </si>
  <si>
    <t>EGS63041C015</t>
  </si>
  <si>
    <t>EGS33041C012</t>
  </si>
  <si>
    <t>EGS300L1C011</t>
  </si>
  <si>
    <t>EGS33061C010</t>
  </si>
  <si>
    <t>EGS69182C011</t>
  </si>
  <si>
    <t>EGS38331C012</t>
  </si>
  <si>
    <t>EGS70R91C016</t>
  </si>
  <si>
    <t>EGS36091C014</t>
  </si>
  <si>
    <t>EGS65131C012</t>
  </si>
  <si>
    <t>EGS370O1C013</t>
  </si>
  <si>
    <t>EGS75011C014</t>
  </si>
  <si>
    <t>EGS696S1C016</t>
  </si>
  <si>
    <t>EGS67181C015</t>
  </si>
  <si>
    <t>EGS95001C011</t>
  </si>
  <si>
    <t>EGS693V1C014</t>
  </si>
  <si>
    <t>EGS70321C012</t>
  </si>
  <si>
    <t>EGS743O1C013</t>
  </si>
  <si>
    <t>EGS697S1C015</t>
  </si>
  <si>
    <t>EGS305I1C011</t>
  </si>
  <si>
    <t>EGS655L1C012</t>
  </si>
  <si>
    <t>EGS21FW1C015</t>
  </si>
  <si>
    <t>EGS691A1C011</t>
  </si>
  <si>
    <t>EGS72XL1C014</t>
  </si>
  <si>
    <t>EGS691G1C015</t>
  </si>
  <si>
    <t>EGS60101C010</t>
  </si>
  <si>
    <t>EGS60301C016</t>
  </si>
  <si>
    <t>EGS60142C014</t>
  </si>
  <si>
    <t>EGS600K1C019</t>
  </si>
  <si>
    <t>EGS60322C012</t>
  </si>
  <si>
    <t>EGS60321C014</t>
  </si>
  <si>
    <t>EGS60081C014</t>
  </si>
  <si>
    <t>EGS60231C015</t>
  </si>
  <si>
    <t>EGS60041C018</t>
  </si>
  <si>
    <t>EGS656M1C010</t>
  </si>
  <si>
    <t>EGS42101C013</t>
  </si>
  <si>
    <t>EGS691T1C010</t>
  </si>
  <si>
    <t>EGS70331C011</t>
  </si>
  <si>
    <t>EGS21EB1C011</t>
  </si>
  <si>
    <t>EGS3JM11C012</t>
  </si>
  <si>
    <t>EGS69261C013</t>
  </si>
  <si>
    <t>EGS38171C012</t>
  </si>
  <si>
    <t>EGS3C351C011</t>
  </si>
  <si>
    <t>EGS30901C010</t>
  </si>
  <si>
    <t>EGS07DR1C012</t>
  </si>
  <si>
    <t>EGS540S1C014</t>
  </si>
  <si>
    <t>EGS70342C018</t>
  </si>
  <si>
    <t>EGS32161C019</t>
  </si>
  <si>
    <t>EGS213S1C010</t>
  </si>
  <si>
    <t>EGS673T1C012</t>
  </si>
  <si>
    <t>EGS59U92C011</t>
  </si>
  <si>
    <t>جيوس للتجارة والمقاولات</t>
  </si>
  <si>
    <t>EGS51LQ1C018</t>
  </si>
  <si>
    <t>حسن علام للاستثمار ورأس مال المخاطر</t>
  </si>
  <si>
    <t>EGS69921C012</t>
  </si>
  <si>
    <t>حق اكتتاب شركة اطلس للاستثمار والصناعات الغذائية-1</t>
  </si>
  <si>
    <t>EGS92491C017</t>
  </si>
  <si>
    <t>حق اكتتاب شركة ماكرو جروب للمستحضرات الطبية- ماكرو كابيتال</t>
  </si>
  <si>
    <t>EGS92461C010</t>
  </si>
  <si>
    <t>حق اكتتاب شركةكوبر للاستثمار التجاري والتطوير العقاري-2</t>
  </si>
  <si>
    <t>EGS92481C018</t>
  </si>
  <si>
    <t>حق اكتتاب مصرف ابو ظبي الاسلامي- مصر-3</t>
  </si>
  <si>
    <t>EGS92471C019</t>
  </si>
  <si>
    <t>EGS33321C018</t>
  </si>
  <si>
    <t>EGS370W1C013</t>
  </si>
  <si>
    <t>EGS42121C011</t>
  </si>
  <si>
    <t>EGS74F71C015</t>
  </si>
  <si>
    <t>EGS690C1C010</t>
  </si>
  <si>
    <t>EGS74191C015</t>
  </si>
  <si>
    <t>EGS70271C019</t>
  </si>
  <si>
    <t>EGS70281C018</t>
  </si>
  <si>
    <t>EGS3A221C018</t>
  </si>
  <si>
    <t>EGS21171C011</t>
  </si>
  <si>
    <t>EGS382M1C011</t>
  </si>
  <si>
    <t>EGS73BR1C013</t>
  </si>
  <si>
    <t>EGS51191C012</t>
  </si>
  <si>
    <t>EGS691D1C018</t>
  </si>
  <si>
    <t>EGS380S1C017</t>
  </si>
  <si>
    <t>EGS70571C012</t>
  </si>
  <si>
    <t>EGS23111C015</t>
  </si>
  <si>
    <t>EGS729J1C018</t>
  </si>
  <si>
    <t>EGS52041C018</t>
  </si>
  <si>
    <t>EGS490S1C014</t>
  </si>
  <si>
    <t>EGS79072C012</t>
  </si>
  <si>
    <t>EGS30AL1C012</t>
  </si>
  <si>
    <t>EGS39011C019</t>
  </si>
  <si>
    <t>فالمور القابضة للاستثمار</t>
  </si>
  <si>
    <t>EGS69082C013</t>
  </si>
  <si>
    <t>EGS69081C023</t>
  </si>
  <si>
    <t>EGS745L1C014</t>
  </si>
  <si>
    <t>EGS385S1C012</t>
  </si>
  <si>
    <t>EGS07911C018</t>
  </si>
  <si>
    <t>EGS740C1C010</t>
  </si>
  <si>
    <t>EGS698X1C017</t>
  </si>
  <si>
    <t>EGS23141C012</t>
  </si>
  <si>
    <t>EGS38411C012</t>
  </si>
  <si>
    <t>EGS65511C015</t>
  </si>
  <si>
    <t>EGS738I1C018</t>
  </si>
  <si>
    <t>EGS672I2C014</t>
  </si>
  <si>
    <t>EGS07661C019</t>
  </si>
  <si>
    <t>EGS3C161C014</t>
  </si>
  <si>
    <t>EGS7D971C011</t>
  </si>
  <si>
    <t>EGS69191C012</t>
  </si>
  <si>
    <t>EGS69101C011</t>
  </si>
  <si>
    <t>EGS46051C016</t>
  </si>
  <si>
    <t>EGS691S1C011</t>
  </si>
  <si>
    <t>EGS65571C019</t>
  </si>
  <si>
    <t>EGS70P91C010</t>
  </si>
  <si>
    <t>EGS739Z1C016</t>
  </si>
  <si>
    <t>EGS72011C017</t>
  </si>
  <si>
    <t>EGS65591C017</t>
  </si>
  <si>
    <t>EGS3D0C1C018</t>
  </si>
  <si>
    <t>EGS3C371C019</t>
  </si>
  <si>
    <t>EGS39061C014</t>
  </si>
  <si>
    <t>EGS38211C016</t>
  </si>
  <si>
    <t>EGS3C391C017</t>
  </si>
  <si>
    <t>EGS53051C016</t>
  </si>
  <si>
    <t>EGS3E181C010</t>
  </si>
  <si>
    <t>EGS38421C011</t>
  </si>
  <si>
    <t>EGS70081C012</t>
  </si>
  <si>
    <t>EGS60111C019</t>
  </si>
  <si>
    <t>EGS30351C018</t>
  </si>
  <si>
    <t>EGS30451C016</t>
  </si>
  <si>
    <t>EGS30401C011</t>
  </si>
  <si>
    <t>EGS30421C019</t>
  </si>
  <si>
    <t>EGS30471C014</t>
  </si>
  <si>
    <t>EGS30411C010</t>
  </si>
  <si>
    <t>EGS30361C017</t>
  </si>
  <si>
    <t>EGS38351C010</t>
  </si>
  <si>
    <t>EGS380G1C011</t>
  </si>
  <si>
    <t>EGS65441C015</t>
  </si>
  <si>
    <t>EGS02291C010</t>
  </si>
  <si>
    <t>EGS01071C017</t>
  </si>
  <si>
    <t>EGS694B1C017</t>
  </si>
  <si>
    <t>EGS696Z1C017</t>
  </si>
  <si>
    <t>EGS505Z1C018</t>
  </si>
  <si>
    <t>EGS38161C013</t>
  </si>
  <si>
    <t>IBCT</t>
  </si>
  <si>
    <t>انترناشيونال بزنيس كوربوريشن للتجارة والتوكيلات التجارية</t>
  </si>
  <si>
    <t>BWA</t>
  </si>
  <si>
    <t>صندوق بلتون وفرة شريعة</t>
  </si>
  <si>
    <t>جنيه مصري</t>
  </si>
  <si>
    <t>HBCO</t>
  </si>
  <si>
    <t>هيبكو</t>
  </si>
  <si>
    <t>بي اي دي- البدر للاستثمار والتنمية</t>
  </si>
  <si>
    <t>ركاز القابضة للاستثمارات المالية</t>
  </si>
  <si>
    <t>المصرية الكويتية للأستثمار والتجارة</t>
  </si>
  <si>
    <t>بى اى جى للتجارة والاستثمار</t>
  </si>
  <si>
    <t>يوتوبيا للاستثمار العقارى والسياحى</t>
  </si>
  <si>
    <t>نوفيدا للإستثمار والتكنولوجيا</t>
  </si>
  <si>
    <t>الدولية للصناعات الطبية ايكمي</t>
  </si>
  <si>
    <t>الفنار للمقاولات العمومية والإنشاءات والتجارة والاستيراد</t>
  </si>
  <si>
    <t>الاولي للاستثمار والتنمية العقارية</t>
  </si>
  <si>
    <t>المجموعة المتكاملة للأعمال الهندسية</t>
  </si>
  <si>
    <t>فرتيكا للصناعة و التجارة</t>
  </si>
  <si>
    <t>اراب للتنمية والاستثمار العقاري</t>
  </si>
  <si>
    <t>الاتحاد الصيدلي للخدمات الطبية والاستثمار</t>
  </si>
  <si>
    <t>فتنس برايم للاندية الصحية</t>
  </si>
  <si>
    <t>هيبكو للاستثمارات التجارية والتنمية العقارية</t>
  </si>
  <si>
    <t>توسع للتخصيم</t>
  </si>
  <si>
    <t>سعر الإغلاق</t>
  </si>
  <si>
    <t>BIDI</t>
  </si>
  <si>
    <t>UTOP</t>
  </si>
  <si>
    <t>VERT</t>
  </si>
  <si>
    <t>UPMS</t>
  </si>
  <si>
    <t>TWSA</t>
  </si>
  <si>
    <t>ADRI</t>
  </si>
  <si>
    <t>FTNS</t>
  </si>
  <si>
    <t>ICMI</t>
  </si>
  <si>
    <t>AMPI</t>
  </si>
  <si>
    <t>MKIT</t>
  </si>
  <si>
    <t>FNAR</t>
  </si>
  <si>
    <t>FIRE</t>
  </si>
  <si>
    <t>RKAZ</t>
  </si>
  <si>
    <t>BIGP</t>
  </si>
  <si>
    <t>INEG</t>
  </si>
  <si>
    <t>حق اكتتاب شركة توسع للتخصيم -1</t>
  </si>
  <si>
    <t>TWSA-R</t>
  </si>
  <si>
    <t>فيوتشر كير للصناعات الطبية</t>
  </si>
  <si>
    <t>KRDI_r1</t>
  </si>
  <si>
    <t xml:space="preserve">    حق   نهر الخير للتنمية</t>
  </si>
  <si>
    <t>حق اكتتاب شركة نهر الخير للتنمية والاستثمار الزراعي والخدم-1</t>
  </si>
  <si>
    <t>اسم الورقة المالية</t>
  </si>
  <si>
    <t>حق اكتتاب شركة التوفيق للتأجير التمويلى - ايه.تى.ليس 3</t>
  </si>
  <si>
    <t>EGS923X1C014</t>
  </si>
  <si>
    <t>اوراسكوم المالية القابضة</t>
  </si>
  <si>
    <t>حق اكتتاب شركة اسمنت سيناء -2</t>
  </si>
  <si>
    <t>EGS923M1C017</t>
  </si>
  <si>
    <t>حق اكتتاب شركة المطورون العرب القابضة-1</t>
  </si>
  <si>
    <t>EGS923V1C016</t>
  </si>
  <si>
    <t>حق اكتتاب شركة النصر للملابس والمنسوجات-كابو-3</t>
  </si>
  <si>
    <t>EGS923W1C015</t>
  </si>
  <si>
    <t>EGS07331C019</t>
  </si>
  <si>
    <t>كريستمارك للمقاولات والتطوير العقاري</t>
  </si>
  <si>
    <t>اكرومصر للشدات والسقالات المعدنية</t>
  </si>
  <si>
    <t>EGS3E071C013</t>
  </si>
  <si>
    <t>جولدن كوست السخنة للاستثمار السياحى</t>
  </si>
  <si>
    <t>EGS70GV1C015</t>
  </si>
  <si>
    <t>بايونيرز بروبرتيز للتنمية العمرانية</t>
  </si>
  <si>
    <t>ATLC_r3</t>
  </si>
  <si>
    <t>SCEM_r2</t>
  </si>
  <si>
    <t>ARAB_r1</t>
  </si>
  <si>
    <t>KABO_r3</t>
  </si>
  <si>
    <t>NDRL.</t>
  </si>
  <si>
    <t>ACRO</t>
  </si>
  <si>
    <t>GOCO</t>
  </si>
  <si>
    <t>الكود الدولي</t>
  </si>
  <si>
    <t>https://www.egx.com.eg/ar/NewsList.aspx?ISIN=EGS21171C011</t>
  </si>
  <si>
    <t>رابط الاخبار</t>
  </si>
  <si>
    <t>https://www.egx.com.eg/ar/NewsList.aspx?ISIN=EGS739Z1C016</t>
  </si>
  <si>
    <t>https://www.egx.com.eg/ar/NewsList.aspx?ISIN=EGS729F1C012</t>
  </si>
  <si>
    <t>https://www.egx.com.eg/ar/NewsList.aspx?ISIN=EGS21541C015</t>
  </si>
  <si>
    <t>https://www.egx.com.eg/ar/NewsList.aspx?ISIN=EGS38211C016</t>
  </si>
  <si>
    <t>https://www.egx.com.eg/ar/NewsList.aspx?ISIN=EGS65081C019</t>
  </si>
  <si>
    <t>https://www.egx.com.eg/ar/NewsList.aspx?ISIN=EGS44031C010</t>
  </si>
  <si>
    <t>https://www.egx.com.eg/ar/NewsList.aspx?ISIN=EGS30901C010</t>
  </si>
  <si>
    <t>https://www.egx.com.eg/ar/NewsList.aspx?ISIN=EGS60321C014</t>
  </si>
  <si>
    <t>https://www.egx.com.eg/ar/NewsList.aspx?ISIN=EGS48022C015</t>
  </si>
  <si>
    <t>https://www.egx.com.eg/ar/NewsList.aspx?ISIN=EGS59U92C011</t>
  </si>
  <si>
    <t>https://www.egx.com.eg/ar/NewsList.aspx?ISIN=EGS923X1C014</t>
  </si>
  <si>
    <t>https://www.egx.com.eg/ar/NewsList.aspx?ISIN=EGS07661C019</t>
  </si>
  <si>
    <t>https://www.egx.com.eg/ar/NewsList.aspx?ISIN=EGS505Z1C018</t>
  </si>
  <si>
    <t>https://www.egx.com.eg/ar/NewsList.aspx?ISIN=EGS656M1C010</t>
  </si>
  <si>
    <t>https://www.egx.com.eg/ar/NewsList.aspx?ISIN=EGS01071C017</t>
  </si>
  <si>
    <t>https://www.egx.com.eg/ar/NewsList.aspx?ISIN=EGS21351C019</t>
  </si>
  <si>
    <t>https://www.egx.com.eg/ar/NewsList.aspx?ISIN=EGS07061C012</t>
  </si>
  <si>
    <t>https://www.egx.com.eg/ar/NewsList.aspx?ISIN=EGS32331C018</t>
  </si>
  <si>
    <t>https://www.egx.com.eg/ar/NewsList.aspx?ISIN=EGS21531C016</t>
  </si>
  <si>
    <t>https://www.egx.com.eg/ar/NewsList.aspx?ISIN=EGS60231C015</t>
  </si>
  <si>
    <t>https://www.egx.com.eg/ar/NewsList.aspx?ISIN=EGS3D0C1C018</t>
  </si>
  <si>
    <t>https://www.egx.com.eg/ar/NewsList.aspx?ISIN=EGS69182C011</t>
  </si>
  <si>
    <t>https://www.egx.com.eg/ar/NewsList.aspx?ISIN=EGS655L1C012</t>
  </si>
  <si>
    <t>https://www.egx.com.eg/ar/NewsList.aspx?ISIN=EGS10001C013</t>
  </si>
  <si>
    <t>https://www.egx.com.eg/ar/NewsList.aspx?ISIN=EGS740C1C010</t>
  </si>
  <si>
    <t>https://www.egx.com.eg/ar/NewsList.aspx?ISIN=EGS3G0Z1C014</t>
  </si>
  <si>
    <t>https://www.egx.com.eg/ar/NewsList.aspx?ISIN=EGS37091C013</t>
  </si>
  <si>
    <t>https://www.egx.com.eg/ar/NewsList.aspx?ISIN=EGS38191C010</t>
  </si>
  <si>
    <t>https://www.egx.com.eg/ar/NewsList.aspx?ISIN=EGS38251C012</t>
  </si>
  <si>
    <t>https://www.egx.com.eg/ar/NewsList.aspx?ISIN=EGS38351C010</t>
  </si>
  <si>
    <t>https://www.egx.com.eg/ar/NewsList.aspx?ISIN=EGS681D1C010</t>
  </si>
  <si>
    <t>https://www.egx.com.eg/ar/NewsList.aspx?ISIN=EGS691D1C018</t>
  </si>
  <si>
    <t>https://www.egx.com.eg/ar/NewsList.aspx?ISIN=EGS691G1C015</t>
  </si>
  <si>
    <t>https://www.egx.com.eg/ar/NewsList.aspx?ISIN=EGS681I1C015</t>
  </si>
  <si>
    <t>https://www.egx.com.eg/ar/NewsList.aspx?ISIN=EGS33321C018</t>
  </si>
  <si>
    <t>https://www.egx.com.eg/ar/NewsList.aspx?ISIN=EGS380R1C018</t>
  </si>
  <si>
    <t>https://www.egx.com.eg/ar/NewsList.aspx?ISIN=EGS30351C018</t>
  </si>
  <si>
    <t>https://www.egx.com.eg/ar/NewsList.aspx?ISIN=EGS30441C017</t>
  </si>
  <si>
    <t>https://www.egx.com.eg/ar/NewsList.aspx?ISIN=EGS30411C010</t>
  </si>
  <si>
    <t>https://www.egx.com.eg/ar/NewsList.aspx?ISIN=EGS32041C013</t>
  </si>
  <si>
    <t>https://www.egx.com.eg/ar/NewsList.aspx?ISIN=EGS33061C010</t>
  </si>
  <si>
    <t>https://www.egx.com.eg/ar/NewsList.aspx?ISIN=EGS65441C015</t>
  </si>
  <si>
    <t>https://www.egx.com.eg/ar/NewsList.aspx?ISIN=EGS38411C012</t>
  </si>
  <si>
    <t>https://www.egx.com.eg/ar/NewsList.aspx?ISIN=EGS3A221C018</t>
  </si>
  <si>
    <t>https://www.egx.com.eg/ar/NewsList.aspx?ISIN=EGS3C161C014</t>
  </si>
  <si>
    <t>https://www.egx.com.eg/ar/NewsList.aspx?ISIN=EGS3C391C017</t>
  </si>
  <si>
    <t>https://www.egx.com.eg/ar/NewsList.aspx?ISIN=EGS30211C014</t>
  </si>
  <si>
    <t>https://www.egx.com.eg/ar/NewsList.aspx?ISIN=EGS60241C014</t>
  </si>
  <si>
    <t>https://www.egx.com.eg/ar/NewsList.aspx?ISIN=EGS69021C011</t>
  </si>
  <si>
    <t>https://www.egx.com.eg/ar/NewsList.aspx?ISIN=EGS69082C013</t>
  </si>
  <si>
    <t>https://www.egx.com.eg/ar/NewsList.aspx?ISIN=EGS65091C018</t>
  </si>
  <si>
    <t>https://www.egx.com.eg/ar/NewsList.aspx?ISIN=EGS65061C011</t>
  </si>
  <si>
    <t>https://www.egx.com.eg/ar/NewsList.aspx?ISIN=EGS70271C019</t>
  </si>
  <si>
    <t>https://www.egx.com.eg/ar/NewsList.aspx?ISIN=EGS70321C012</t>
  </si>
  <si>
    <t>https://www.egx.com.eg/ar/NewsList.aspx?ISIN=EGS65511C015</t>
  </si>
  <si>
    <t>https://www.egx.com.eg/ar/NewsList.aspx?ISIN=EGS65551C011</t>
  </si>
  <si>
    <t>https://www.egx.com.eg/ar/NewsList.aspx?ISIN=EGS65851C015</t>
  </si>
  <si>
    <t>https://www.egx.com.eg/ar/NewsList.aspx?ISIN=EGS67221C019</t>
  </si>
  <si>
    <t>https://www.egx.com.eg/ar/NewsList.aspx?ISIN=EGS67331C016</t>
  </si>
  <si>
    <t>https://www.egx.com.eg/ar/NewsList.aspx?ISIN=EGS70081C012</t>
  </si>
  <si>
    <t>https://www.egx.com.eg/ar/NewsList.aspx?ISIN=EGS30221C013</t>
  </si>
  <si>
    <t>https://www.egx.com.eg/ar/NewsList.aspx?ISIN=EGS75011C014</t>
  </si>
  <si>
    <t>https://www.egx.com.eg/ar/NewsList.aspx?ISIN=EGS51191C012</t>
  </si>
  <si>
    <t>https://www.egx.com.eg/ar/NewsList.aspx?ISIN=EGS60081C014</t>
  </si>
  <si>
    <t>https://www.egx.com.eg/ar/NewsList.aspx?ISIN=EGS3G111C015</t>
  </si>
  <si>
    <t>https://www.egx.com.eg/ar/NewsList.aspx?ISIN=EGS42051C010</t>
  </si>
  <si>
    <t>https://www.egx.com.eg/ar/NewsList.aspx?ISIN=EGS42121C011</t>
  </si>
  <si>
    <t>https://www.egx.com.eg/ar/NewsList.aspx?ISIN=EGS74191C015</t>
  </si>
  <si>
    <t>https://www.egx.com.eg/ar/NewsList.aspx?ISIN=EGS95001C011</t>
  </si>
  <si>
    <t>https://www.egx.com.eg/ar/NewsList.aspx?ISIN=EGS691T1C010</t>
  </si>
  <si>
    <t>https://www.egx.com.eg/ar/NewsList.aspx?ISIN=EGS60142C014</t>
  </si>
  <si>
    <t>https://www.egx.com.eg/ar/NewsList.aspx?ISIN=EGS60101C010</t>
  </si>
  <si>
    <t>https://www.egx.com.eg/ar/NewsList.aspx?ISIN=EGS3E181C010</t>
  </si>
  <si>
    <t>https://www.egx.com.eg/ar/NewsList.aspx?ISIN=EGS214Q1C011</t>
  </si>
  <si>
    <t>https://www.egx.com.eg/ar/NewsList.aspx?ISIN=EGS73541P048</t>
  </si>
  <si>
    <t>https://www.egx.com.eg/ar/NewsList.aspx?ISIN=EGS071L1C018</t>
  </si>
  <si>
    <t>https://www.egx.com.eg/ar/NewsList.aspx?ISIN=EGS305I1C011</t>
  </si>
  <si>
    <t>https://www.egx.com.eg/ar/NewsList.aspx?ISIN=EGS3C0O1C016</t>
  </si>
  <si>
    <t>https://www.egx.com.eg/ar/NewsList.aspx?ISIN=EGS696S1C016</t>
  </si>
  <si>
    <t>https://www.egx.com.eg/ar/NewsList.aspx?ISIN=EGS69081C023</t>
  </si>
  <si>
    <t>https://www.egx.com.eg/ar/NewsList.aspx?ISIN=EGS21EB1C011</t>
  </si>
  <si>
    <t>https://www.egx.com.eg/ar/NewsList.aspx?ISIN=EGS697S1C015</t>
  </si>
  <si>
    <t>https://www.egx.com.eg/ar/NewsList.aspx?ISIN=EGS490S1C014</t>
  </si>
  <si>
    <t>https://www.egx.com.eg/ar/NewsList.aspx?ISIN=EGS370O1C013</t>
  </si>
  <si>
    <t>https://www.egx.com.eg/ar/NewsList.aspx?ISIN=EGS7D5P1C019</t>
  </si>
  <si>
    <t>https://www.egx.com.eg/ar/NewsList.aspx?ISIN=EGS74F71C015</t>
  </si>
  <si>
    <t>https://www.egx.com.eg/ar/NewsList.aspx?ISIN=EGS221V1C015</t>
  </si>
  <si>
    <t>https://www.egx.com.eg/ar/NewsList.aspx?ISIN=EGS923M1C017</t>
  </si>
  <si>
    <t>https://www.egx.com.eg/ar/NewsList.aspx?ISIN=EGS923V1C016</t>
  </si>
  <si>
    <t>https://www.egx.com.eg/ar/NewsList.aspx?ISIN=EGS923W1C015</t>
  </si>
  <si>
    <t>https://www.egx.com.eg/ar/NewsList.aspx?ISIN=EGS07331C019</t>
  </si>
  <si>
    <t>https://www.egx.com.eg/ar/NewsList.aspx?ISIN=EGS600M1C017</t>
  </si>
  <si>
    <t>https://www.egx.com.eg/ar/NewsList.aspx?ISIN=EGS07DR1C012</t>
  </si>
  <si>
    <t>https://www.egx.com.eg/ar/NewsList.aspx?ISIN=EGS07911C018</t>
  </si>
  <si>
    <t>https://www.egx.com.eg/ar/NewsList.aspx?ISIN=EGS520D1C015</t>
  </si>
  <si>
    <t>https://www.egx.com.eg/ar/NewsList.aspx?ISIN=EGS698X1C017</t>
  </si>
  <si>
    <t>https://www.egx.com.eg/ar/NewsList.aspx?ISIN=EGS70571C012</t>
  </si>
  <si>
    <t>https://www.egx.com.eg/ar/NewsList.aspx?ISIN=EGS01081C016</t>
  </si>
  <si>
    <t>https://www.egx.com.eg/ar/NewsList.aspx?ISIN=EGS01041C010</t>
  </si>
  <si>
    <t>https://www.egx.com.eg/ar/NewsList.aspx?ISIN=EGS02021C011</t>
  </si>
  <si>
    <t>https://www.egx.com.eg/ar/NewsList.aspx?ISIN=EGS02091C014</t>
  </si>
  <si>
    <t>https://www.egx.com.eg/ar/NewsList.aspx?ISIN=EGS02051C018</t>
  </si>
  <si>
    <t>https://www.egx.com.eg/ar/NewsList.aspx?ISIN=EGS651B1C018</t>
  </si>
  <si>
    <t>https://www.egx.com.eg/ar/NewsList.aspx?ISIN=EGS67001C015</t>
  </si>
  <si>
    <t>https://www.egx.com.eg/ar/NewsList.aspx?ISIN=EGS22171C010</t>
  </si>
  <si>
    <t>https://www.egx.com.eg/ar/NewsList.aspx?ISIN=EGS23111C015</t>
  </si>
  <si>
    <t>https://www.egx.com.eg/ar/NewsList.aspx?ISIN=EGS23141C012</t>
  </si>
  <si>
    <t>https://www.egx.com.eg/ar/NewsList.aspx?ISIN=EGS60322C012</t>
  </si>
  <si>
    <t>https://www.egx.com.eg/ar/NewsList.aspx?ISIN=EGS60301C016</t>
  </si>
  <si>
    <t>https://www.egx.com.eg/ar/NewsList.aspx?ISIN=EGS02211C018</t>
  </si>
  <si>
    <t>https://www.egx.com.eg/ar/NewsList.aspx?ISIN=EGS675S1C011</t>
  </si>
  <si>
    <t>https://www.egx.com.eg/ar/NewsList.aspx?ISIN=EGS69191C012</t>
  </si>
  <si>
    <t>https://www.egx.com.eg/ar/NewsList.aspx?ISIN=EGS672I2C014</t>
  </si>
  <si>
    <t>https://www.egx.com.eg/ar/NewsList.aspx?ISIN=EGS213S1C010</t>
  </si>
  <si>
    <t>https://www.egx.com.eg/ar/NewsList.aspx?ISIN=EGS3C001C012</t>
  </si>
  <si>
    <t>https://www.egx.com.eg/ar/NewsList.aspx?ISIN=EGS360A1C011</t>
  </si>
  <si>
    <t>https://www.egx.com.eg/ar/NewsList.aspx?ISIN=EGS380G1C011</t>
  </si>
  <si>
    <t>https://www.egx.com.eg/ar/NewsList.aspx?ISIN=EGS380S1C017</t>
  </si>
  <si>
    <t>https://www.egx.com.eg/ar/NewsList.aspx?ISIN=EGS690C1C010</t>
  </si>
  <si>
    <t>https://www.egx.com.eg/ar/NewsList.aspx?ISIN=EGS46051C016</t>
  </si>
  <si>
    <t>https://www.egx.com.eg/ar/NewsList.aspx?ISIN=EGS36091C014</t>
  </si>
  <si>
    <t>https://www.egx.com.eg/ar/NewsList.aspx?ISIN=EGS36021C011</t>
  </si>
  <si>
    <t>https://www.egx.com.eg/ar/NewsList.aspx?ISIN=EGS38081C013</t>
  </si>
  <si>
    <t>https://www.egx.com.eg/ar/NewsList.aspx?ISIN=EGS38171C012</t>
  </si>
  <si>
    <t>https://www.egx.com.eg/ar/NewsList.aspx?ISIN=EGS38161C013</t>
  </si>
  <si>
    <t>https://www.egx.com.eg/ar/NewsList.aspx?ISIN=EGS38201C017</t>
  </si>
  <si>
    <t>https://www.egx.com.eg/ar/NewsList.aspx?ISIN=EGS38341C011</t>
  </si>
  <si>
    <t>https://www.egx.com.eg/ar/NewsList.aspx?ISIN=EGS38331C012</t>
  </si>
  <si>
    <t>https://www.egx.com.eg/ar/NewsList.aspx?ISIN=EGS300L1C011</t>
  </si>
  <si>
    <t>https://www.egx.com.eg/ar/NewsList.aspx?ISIN=EGS3E1E1C013</t>
  </si>
  <si>
    <t>https://www.egx.com.eg/ar/NewsList.aspx?ISIN=EGS673T1C012</t>
  </si>
  <si>
    <t>https://www.egx.com.eg/ar/NewsList.aspx?ISIN=EGS691S1C011</t>
  </si>
  <si>
    <t>https://www.egx.com.eg/ar/NewsList.aspx?ISIN=EGS691A1C011</t>
  </si>
  <si>
    <t>https://www.egx.com.eg/ar/NewsList.aspx?ISIN=EGS735N2C012</t>
  </si>
  <si>
    <t>https://www.egx.com.eg/ar/NewsList.aspx?ISIN=EGS370W1C013</t>
  </si>
  <si>
    <t>https://www.egx.com.eg/ar/NewsList.aspx?ISIN=EGS691L1C018</t>
  </si>
  <si>
    <t>https://www.egx.com.eg/ar/NewsList.aspx?ISIN=EGS70H02C014</t>
  </si>
  <si>
    <t>https://www.egx.com.eg/ar/NewsList.aspx?ISIN=EGS380P1C010</t>
  </si>
  <si>
    <t>https://www.egx.com.eg/ar/NewsList.aspx?ISIN=EGS30361C017</t>
  </si>
  <si>
    <t>https://www.egx.com.eg/ar/NewsList.aspx?ISIN=EGS30471C014</t>
  </si>
  <si>
    <t>https://www.egx.com.eg/ar/NewsList.aspx?ISIN=EGS30451C016</t>
  </si>
  <si>
    <t>https://www.egx.com.eg/ar/NewsList.aspx?ISIN=EGS30421C019</t>
  </si>
  <si>
    <t>https://www.egx.com.eg/ar/NewsList.aspx?ISIN=EGS30401C011</t>
  </si>
  <si>
    <t>https://www.egx.com.eg/ar/NewsList.aspx?ISIN=EGS30581C010</t>
  </si>
  <si>
    <t>https://www.egx.com.eg/ar/NewsList.aspx?ISIN=EGS32161C019</t>
  </si>
  <si>
    <t>https://www.egx.com.eg/ar/NewsList.aspx?ISIN=EGS32221C011</t>
  </si>
  <si>
    <t>https://www.egx.com.eg/ar/NewsList.aspx?ISIN=EGS33041C012</t>
  </si>
  <si>
    <t>https://www.egx.com.eg/ar/NewsList.aspx?ISIN=EGS65341C017</t>
  </si>
  <si>
    <t>https://www.egx.com.eg/ar/NewsList.aspx?ISIN=EGS38321C013</t>
  </si>
  <si>
    <t>https://www.egx.com.eg/ar/NewsList.aspx?ISIN=EGS38421C011</t>
  </si>
  <si>
    <t>https://www.egx.com.eg/ar/NewsList.aspx?ISIN=EGS38391C016</t>
  </si>
  <si>
    <t>https://www.egx.com.eg/ar/NewsList.aspx?ISIN=EGS38381C017</t>
  </si>
  <si>
    <t>https://www.egx.com.eg/ar/NewsList.aspx?ISIN=EGS39011C019</t>
  </si>
  <si>
    <t>https://www.egx.com.eg/ar/NewsList.aspx?ISIN=EGS3C111C019</t>
  </si>
  <si>
    <t>https://www.egx.com.eg/ar/NewsList.aspx?ISIN=EGS3C071C015</t>
  </si>
  <si>
    <t>https://www.egx.com.eg/ar/NewsList.aspx?ISIN=EGS3C151C015</t>
  </si>
  <si>
    <t>https://www.egx.com.eg/ar/NewsList.aspx?ISIN=EGS3C401C014</t>
  </si>
  <si>
    <t>https://www.egx.com.eg/ar/NewsList.aspx?ISIN=EGS3C371C019</t>
  </si>
  <si>
    <t>https://www.egx.com.eg/ar/NewsList.aspx?ISIN=EGS3C351C011</t>
  </si>
  <si>
    <t>https://www.egx.com.eg/ar/NewsList.aspx?ISIN=EGS30201C015</t>
  </si>
  <si>
    <t>https://www.egx.com.eg/ar/NewsList.aspx?ISIN=EGS30291C016</t>
  </si>
  <si>
    <t>https://www.egx.com.eg/ar/NewsList.aspx?ISIN=EGS65011C016</t>
  </si>
  <si>
    <t>https://www.egx.com.eg/ar/NewsList.aspx?ISIN=EGS63041C015</t>
  </si>
  <si>
    <t>https://www.egx.com.eg/ar/NewsList.aspx?ISIN=EGS69011C012</t>
  </si>
  <si>
    <t>https://www.egx.com.eg/ar/NewsList.aspx?ISIN=EGS69101C011</t>
  </si>
  <si>
    <t>https://www.egx.com.eg/ar/NewsList.aspx?ISIN=EGS63031C016</t>
  </si>
  <si>
    <t>https://www.egx.com.eg/ar/NewsList.aspx?ISIN=EGS65131C012</t>
  </si>
  <si>
    <t>https://www.egx.com.eg/ar/NewsList.aspx?ISIN=EGS65071C010</t>
  </si>
  <si>
    <t>https://www.egx.com.eg/ar/NewsList.aspx?ISIN=EGS65211C012</t>
  </si>
  <si>
    <t>https://www.egx.com.eg/ar/NewsList.aspx?ISIN=EGS70281C018</t>
  </si>
  <si>
    <t>https://www.egx.com.eg/ar/NewsList.aspx?ISIN=EGS70342C018</t>
  </si>
  <si>
    <t>https://www.egx.com.eg/ar/NewsList.aspx?ISIN=EGS70331C011</t>
  </si>
  <si>
    <t>https://www.egx.com.eg/ar/NewsList.aspx?ISIN=EGS70431C019</t>
  </si>
  <si>
    <t>https://www.egx.com.eg/ar/NewsList.aspx?ISIN=EGS72011C017</t>
  </si>
  <si>
    <t>https://www.egx.com.eg/ar/NewsList.aspx?ISIN=EGS65461C013</t>
  </si>
  <si>
    <t>https://www.egx.com.eg/ar/NewsList.aspx?ISIN=EGS65591C017</t>
  </si>
  <si>
    <t>https://www.egx.com.eg/ar/NewsList.aspx?ISIN=EGS65571C019</t>
  </si>
  <si>
    <t>https://www.egx.com.eg/ar/NewsList.aspx?ISIN=EGS65541C012</t>
  </si>
  <si>
    <t>https://www.egx.com.eg/ar/NewsList.aspx?ISIN=EGS65771C015</t>
  </si>
  <si>
    <t>https://www.egx.com.eg/ar/NewsList.aspx?ISIN=EGS67031C012</t>
  </si>
  <si>
    <t>https://www.egx.com.eg/ar/NewsList.aspx?ISIN=EGS67032C010</t>
  </si>
  <si>
    <t>https://www.egx.com.eg/ar/NewsList.aspx?ISIN=EGS67191C014</t>
  </si>
  <si>
    <t>https://www.egx.com.eg/ar/NewsList.aspx?ISIN=EGS67181C015</t>
  </si>
  <si>
    <t>https://www.egx.com.eg/ar/NewsList.aspx?ISIN=EGS68181C014</t>
  </si>
  <si>
    <t>https://www.egx.com.eg/ar/NewsList.aspx?ISIN=EGS3D061C015</t>
  </si>
  <si>
    <t>https://www.egx.com.eg/ar/NewsList.aspx?ISIN=EGS3D031C018</t>
  </si>
  <si>
    <t>https://www.egx.com.eg/ar/NewsList.aspx?ISIN=EGS30031C016</t>
  </si>
  <si>
    <t>https://www.egx.com.eg/ar/NewsList.aspx?ISIN=EGS72081C010</t>
  </si>
  <si>
    <t>https://www.egx.com.eg/ar/NewsList.aspx?ISIN=EGS72201C014</t>
  </si>
  <si>
    <t>https://www.egx.com.eg/ar/NewsList.aspx?ISIN=EGS78021C010</t>
  </si>
  <si>
    <t>https://www.egx.com.eg/ar/NewsList.aspx?ISIN=EGS79072C012</t>
  </si>
  <si>
    <t>https://www.egx.com.eg/ar/NewsList.aspx?ISIN=EGS52041C018</t>
  </si>
  <si>
    <t>https://www.egx.com.eg/ar/NewsList.aspx?ISIN=EGS53051C016</t>
  </si>
  <si>
    <t>https://www.egx.com.eg/ar/NewsList.aspx?ISIN=EGS60041C018</t>
  </si>
  <si>
    <t>https://www.egx.com.eg/ar/NewsList.aspx?ISIN=EGS3F021C017</t>
  </si>
  <si>
    <t>https://www.egx.com.eg/ar/NewsList.aspx?ISIN=EGS3G231C011</t>
  </si>
  <si>
    <t>https://www.egx.com.eg/ar/NewsList.aspx?ISIN=EGS42101C013</t>
  </si>
  <si>
    <t>https://www.egx.com.eg/ar/NewsList.aspx?ISIN=EGS44012C010</t>
  </si>
  <si>
    <t>https://www.egx.com.eg/ar/NewsList.aspx?ISIN=EGS42111C012</t>
  </si>
  <si>
    <t>https://www.egx.com.eg/ar/NewsList.aspx?ISIN=EGS48031C016</t>
  </si>
  <si>
    <t>https://www.egx.com.eg/ar/NewsList.aspx?ISIN=EGS676N1C015</t>
  </si>
  <si>
    <t>https://www.egx.com.eg/ar/NewsList.aspx?ISIN=EGS673Y1C015</t>
  </si>
  <si>
    <t>https://www.egx.com.eg/ar/NewsList.aspx?ISIN=EGS39061C014</t>
  </si>
  <si>
    <t>https://www.egx.com.eg/ar/NewsList.aspx?ISIN=EGS694A1C018</t>
  </si>
  <si>
    <t>https://www.egx.com.eg/ar/NewsList.aspx?ISIN=EGS60121C018</t>
  </si>
  <si>
    <t>https://www.egx.com.eg/ar/NewsList.aspx?ISIN=EGS60111C019</t>
  </si>
  <si>
    <t>https://www.egx.com.eg/ar/NewsList.aspx?ISIN=EGS60182C010</t>
  </si>
  <si>
    <t>https://www.egx.com.eg/ar/NewsList.aspx?ISIN=EGS3E071C013</t>
  </si>
  <si>
    <t>https://www.egx.com.eg/ar/NewsList.aspx?ISIN=EGS69261C013</t>
  </si>
  <si>
    <t>https://www.egx.com.eg/ar/NewsList.aspx?ISIN=EGS70R91C016</t>
  </si>
  <si>
    <t>https://www.egx.com.eg/ar/NewsList.aspx?ISIN=EGS70P91C010</t>
  </si>
  <si>
    <t>https://www.egx.com.eg/ar/NewsList.aspx?ISIN=EGS73541C012</t>
  </si>
  <si>
    <t>https://www.egx.com.eg/ar/NewsList.aspx?ISIN=EGS3C4L1C015</t>
  </si>
  <si>
    <t>https://www.egx.com.eg/ar/NewsList.aspx?ISIN=EGS693V1C014</t>
  </si>
  <si>
    <t>https://www.egx.com.eg/ar/NewsList.aspx?ISIN=EGS70GV1C015</t>
  </si>
  <si>
    <t>https://www.egx.com.eg/ar/NewsList.aspx?ISIN=EGS382M1C011</t>
  </si>
  <si>
    <t>https://www.egx.com.eg/ar/NewsList.aspx?ISIN=EGS69491M015</t>
  </si>
  <si>
    <t>https://www.egx.com.eg/ar/NewsList.aspx?ISIN=EGS30AL1C012</t>
  </si>
  <si>
    <t>https://www.egx.com.eg/ar/NewsList.aspx?ISIN=EGS729J1C018</t>
  </si>
  <si>
    <t>https://www.egx.com.eg/ar/NewsList.aspx?ISIN=EGS738I1C018</t>
  </si>
  <si>
    <t>https://www.egx.com.eg/ar/NewsList.aspx?ISIN=EGS600K1C019</t>
  </si>
  <si>
    <t>https://www.egx.com.eg/ar/NewsList.aspx?ISIN=EGS72AQ1C016</t>
  </si>
  <si>
    <t>https://www.egx.com.eg/ar/NewsList.aspx?ISIN=EGS7D971C011</t>
  </si>
  <si>
    <t>https://www.egx.com.eg/ar/NewsList.aspx?ISIN=EGS102S1C014</t>
  </si>
  <si>
    <t>https://www.egx.com.eg/ar/NewsList.aspx?ISIN=EGS512O1C012</t>
  </si>
  <si>
    <t>https://www.egx.com.eg/ar/NewsList.aspx?ISIN=EGS381B1C015</t>
  </si>
  <si>
    <t>https://www.egx.com.eg/ar/NewsList.aspx?ISIN=EGS745L1C014</t>
  </si>
  <si>
    <t>https://www.egx.com.eg/ar/NewsList.aspx?ISIN=EGS73BR1C013</t>
  </si>
  <si>
    <t>https://www.egx.com.eg/ar/NewsList.aspx?ISIN=EGS696Z1C017</t>
  </si>
  <si>
    <t>https://www.egx.com.eg/ar/NewsList.aspx?ISIN=EGS694B1C017</t>
  </si>
  <si>
    <t>https://www.egx.com.eg/ar/NewsList.aspx?ISIN=EGS597R1C017</t>
  </si>
  <si>
    <t>https://www.egx.com.eg/ar/NewsList.aspx?ISIN=EGS743O1C013</t>
  </si>
  <si>
    <t>https://www.egx.com.eg/ar/NewsList.aspx?ISIN=EGS02291C010</t>
  </si>
  <si>
    <t>https://www.egx.com.eg/ar/NewsList.aspx?ISIN=EGS21FW1C015</t>
  </si>
  <si>
    <t>https://www.egx.com.eg/ar/NewsList.aspx?ISIN=EGS3JM11C012</t>
  </si>
  <si>
    <t>https://www.egx.com.eg/ar/NewsList.aspx?ISIN=</t>
  </si>
  <si>
    <t>تايكون انفستمنتس هولدنج</t>
  </si>
  <si>
    <t>دولار أمريكي</t>
  </si>
  <si>
    <t>صكوك بكرة للتصكيك الاصدار الاول ابريل 2032 ع.م</t>
  </si>
  <si>
    <t>حق اكتتاب شركة اسباير كابيتال القابضة للاستثمارات المالية-3</t>
  </si>
  <si>
    <t>المصرية لخدمات النقل والتجارة ايجيترانس نوسكو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</si>
</sst>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color rgb="FF0F1115"/>
      <name val="Consolas"/>
      <family val="3"/>
    </font>
    <font>
      <sz val="10"/>
      <color rgb="FF0F1115"/>
      <name val="Segoe UI"/>
      <family val="2"/>
    </font>
    <font>
      <sz val="11"/>
      <color rgb="FF073C6C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73C6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F9"/>
        <bgColor indexed="64"/>
      </patternFill>
    </fill>
    <fill>
      <patternFill patternType="solid">
        <fgColor rgb="FF00508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applyFont="1"/>
    <xf numFmtId="0" fontId="0" fillId="4" borderId="0" xfId="0" applyFill="1"/>
    <xf numFmtId="0" fontId="4" fillId="5" borderId="0" xfId="1" applyFill="1" applyAlignment="1">
      <alignment horizontal="right" vertical="center" wrapText="1" readingOrder="2"/>
    </xf>
    <xf numFmtId="0" fontId="0" fillId="5" borderId="0" xfId="0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right" vertical="center" wrapText="1"/>
    </xf>
    <xf numFmtId="0" fontId="4" fillId="6" borderId="0" xfId="1" applyFill="1" applyAlignment="1">
      <alignment horizontal="right" vertical="center" wrapText="1" readingOrder="2"/>
    </xf>
    <xf numFmtId="0" fontId="0" fillId="6" borderId="0" xfId="0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5" fillId="7" borderId="0" xfId="0" applyFont="1" applyFill="1" applyAlignment="1">
      <alignment horizontal="right" vertical="center" wrapText="1"/>
    </xf>
    <xf numFmtId="0" fontId="6" fillId="5" borderId="0" xfId="0" applyFont="1" applyFill="1" applyAlignment="1">
      <alignment horizontal="right" vertical="center" wrapText="1"/>
    </xf>
    <xf numFmtId="4" fontId="6" fillId="5" borderId="0" xfId="0" applyNumberFormat="1" applyFont="1" applyFill="1" applyAlignment="1">
      <alignment horizontal="right" vertical="center" wrapText="1"/>
    </xf>
    <xf numFmtId="3" fontId="6" fillId="5" borderId="0" xfId="0" applyNumberFormat="1" applyFont="1" applyFill="1" applyAlignment="1">
      <alignment horizontal="right" vertical="center" wrapText="1"/>
    </xf>
    <xf numFmtId="0" fontId="6" fillId="6" borderId="0" xfId="0" applyFont="1" applyFill="1" applyAlignment="1">
      <alignment horizontal="right" vertical="center" wrapText="1"/>
    </xf>
    <xf numFmtId="4" fontId="6" fillId="6" borderId="0" xfId="0" applyNumberFormat="1" applyFont="1" applyFill="1" applyAlignment="1">
      <alignment horizontal="right" vertical="center" wrapText="1"/>
    </xf>
    <xf numFmtId="3" fontId="6" fillId="6" borderId="0" xfId="0" applyNumberFormat="1" applyFont="1" applyFill="1" applyAlignment="1">
      <alignment horizontal="right" vertical="center" wrapText="1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1"/>
    <xf numFmtId="0" fontId="4" fillId="0" borderId="0" xfId="1" applyAlignment="1">
      <alignment horizontal="center"/>
    </xf>
    <xf numFmtId="0" fontId="0" fillId="5" borderId="0" xfId="0" applyFill="1" applyAlignment="1">
      <alignment vertical="top" wrapText="1" indent="2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243840</xdr:colOff>
      <xdr:row>2</xdr:row>
      <xdr:rowOff>99060</xdr:rowOff>
    </xdr:to>
    <xdr:sp macro="" textlink="">
      <xdr:nvSpPr>
        <xdr:cNvPr id="1025" name="ctl00_C_Ls_GridView2_ctl02_img1" descr="تفاصيل إضافية للشركة">
          <a:extLst>
            <a:ext uri="{FF2B5EF4-FFF2-40B4-BE49-F238E27FC236}">
              <a16:creationId xmlns:a16="http://schemas.microsoft.com/office/drawing/2014/main" id="{CA49E01C-7B54-667C-C32D-9571F4DA337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2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243840</xdr:colOff>
      <xdr:row>3</xdr:row>
      <xdr:rowOff>99060</xdr:rowOff>
    </xdr:to>
    <xdr:sp macro="" textlink="">
      <xdr:nvSpPr>
        <xdr:cNvPr id="1026" name="ctl00_C_Ls_GridView2_ctl03_img1" descr="تفاصيل إضافية للشركة">
          <a:extLst>
            <a:ext uri="{FF2B5EF4-FFF2-40B4-BE49-F238E27FC236}">
              <a16:creationId xmlns:a16="http://schemas.microsoft.com/office/drawing/2014/main" id="{EF2AD2F1-FBFC-4CC3-3A32-4EFAF8D6EF0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5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243840</xdr:colOff>
      <xdr:row>4</xdr:row>
      <xdr:rowOff>99060</xdr:rowOff>
    </xdr:to>
    <xdr:sp macro="" textlink="">
      <xdr:nvSpPr>
        <xdr:cNvPr id="1027" name="ctl00_C_Ls_GridView2_ctl04_img1" descr="تفاصيل إضافية للشركة">
          <a:extLst>
            <a:ext uri="{FF2B5EF4-FFF2-40B4-BE49-F238E27FC236}">
              <a16:creationId xmlns:a16="http://schemas.microsoft.com/office/drawing/2014/main" id="{23146C9B-F38A-E6EA-06AA-FC4DD63C38F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548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243840</xdr:colOff>
      <xdr:row>5</xdr:row>
      <xdr:rowOff>99060</xdr:rowOff>
    </xdr:to>
    <xdr:sp macro="" textlink="">
      <xdr:nvSpPr>
        <xdr:cNvPr id="1028" name="ctl00_C_Ls_GridView2_ctl05_img1" descr="تفاصيل إضافية للشركة">
          <a:extLst>
            <a:ext uri="{FF2B5EF4-FFF2-40B4-BE49-F238E27FC236}">
              <a16:creationId xmlns:a16="http://schemas.microsoft.com/office/drawing/2014/main" id="{D6204C0E-51A3-BE2F-6F9A-C80389BCB17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731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243840</xdr:colOff>
      <xdr:row>6</xdr:row>
      <xdr:rowOff>99060</xdr:rowOff>
    </xdr:to>
    <xdr:sp macro="" textlink="">
      <xdr:nvSpPr>
        <xdr:cNvPr id="1029" name="ctl00_C_Ls_GridView2_ctl06_img1" descr="تفاصيل إضافية للشركة">
          <a:extLst>
            <a:ext uri="{FF2B5EF4-FFF2-40B4-BE49-F238E27FC236}">
              <a16:creationId xmlns:a16="http://schemas.microsoft.com/office/drawing/2014/main" id="{08CEE374-9068-55C6-296C-3110A8F1C3D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914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243840</xdr:colOff>
      <xdr:row>7</xdr:row>
      <xdr:rowOff>99060</xdr:rowOff>
    </xdr:to>
    <xdr:sp macro="" textlink="">
      <xdr:nvSpPr>
        <xdr:cNvPr id="1030" name="ctl00_C_Ls_GridView2_ctl07_img1" descr="تفاصيل إضافية للشركة">
          <a:extLst>
            <a:ext uri="{FF2B5EF4-FFF2-40B4-BE49-F238E27FC236}">
              <a16:creationId xmlns:a16="http://schemas.microsoft.com/office/drawing/2014/main" id="{7E19F6E3-AF97-95DA-C85D-4C5D31D6E0C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97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243840</xdr:colOff>
      <xdr:row>8</xdr:row>
      <xdr:rowOff>99060</xdr:rowOff>
    </xdr:to>
    <xdr:sp macro="" textlink="">
      <xdr:nvSpPr>
        <xdr:cNvPr id="1031" name="ctl00_C_Ls_GridView2_ctl08_img1" descr="تفاصيل إضافية للشركة">
          <a:extLst>
            <a:ext uri="{FF2B5EF4-FFF2-40B4-BE49-F238E27FC236}">
              <a16:creationId xmlns:a16="http://schemas.microsoft.com/office/drawing/2014/main" id="{C1B36427-2E67-8E8B-24A4-7B4FBFE0D7B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80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243840</xdr:colOff>
      <xdr:row>9</xdr:row>
      <xdr:rowOff>99060</xdr:rowOff>
    </xdr:to>
    <xdr:sp macro="" textlink="">
      <xdr:nvSpPr>
        <xdr:cNvPr id="1032" name="ctl00_C_Ls_GridView2_ctl09_img1" descr="تفاصيل إضافية للشركة">
          <a:extLst>
            <a:ext uri="{FF2B5EF4-FFF2-40B4-BE49-F238E27FC236}">
              <a16:creationId xmlns:a16="http://schemas.microsoft.com/office/drawing/2014/main" id="{D7E10015-4022-67CE-F114-1862AA9AA7B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63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243840</xdr:colOff>
      <xdr:row>10</xdr:row>
      <xdr:rowOff>99060</xdr:rowOff>
    </xdr:to>
    <xdr:sp macro="" textlink="">
      <xdr:nvSpPr>
        <xdr:cNvPr id="1033" name="ctl00_C_Ls_GridView2_ctl10_img1" descr="تفاصيل إضافية للشركة">
          <a:extLst>
            <a:ext uri="{FF2B5EF4-FFF2-40B4-BE49-F238E27FC236}">
              <a16:creationId xmlns:a16="http://schemas.microsoft.com/office/drawing/2014/main" id="{86E29383-736A-81D4-0C89-CB4682DE6AB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645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243840</xdr:colOff>
      <xdr:row>11</xdr:row>
      <xdr:rowOff>99060</xdr:rowOff>
    </xdr:to>
    <xdr:sp macro="" textlink="">
      <xdr:nvSpPr>
        <xdr:cNvPr id="1034" name="ctl00_C_Ls_GridView2_ctl11_img1" descr="تفاصيل إضافية للشركة">
          <a:extLst>
            <a:ext uri="{FF2B5EF4-FFF2-40B4-BE49-F238E27FC236}">
              <a16:creationId xmlns:a16="http://schemas.microsoft.com/office/drawing/2014/main" id="{43D9F3E5-5C9E-8EA9-1D29-D4157CFC8AF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28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243840</xdr:colOff>
      <xdr:row>12</xdr:row>
      <xdr:rowOff>99060</xdr:rowOff>
    </xdr:to>
    <xdr:sp macro="" textlink="">
      <xdr:nvSpPr>
        <xdr:cNvPr id="1035" name="ctl00_C_Ls_GridView2_ctl12_img1" descr="تفاصيل إضافية للشركة">
          <a:extLst>
            <a:ext uri="{FF2B5EF4-FFF2-40B4-BE49-F238E27FC236}">
              <a16:creationId xmlns:a16="http://schemas.microsoft.com/office/drawing/2014/main" id="{F9903ED3-9BC5-8E93-B807-AF339570928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011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243840</xdr:colOff>
      <xdr:row>13</xdr:row>
      <xdr:rowOff>99060</xdr:rowOff>
    </xdr:to>
    <xdr:sp macro="" textlink="">
      <xdr:nvSpPr>
        <xdr:cNvPr id="1036" name="ctl00_C_Ls_GridView2_ctl13_img1" descr="تفاصيل إضافية للشركة">
          <a:extLst>
            <a:ext uri="{FF2B5EF4-FFF2-40B4-BE49-F238E27FC236}">
              <a16:creationId xmlns:a16="http://schemas.microsoft.com/office/drawing/2014/main" id="{C6A14415-E4ED-0FD2-39E6-09914CA3B50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94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243840</xdr:colOff>
      <xdr:row>14</xdr:row>
      <xdr:rowOff>99060</xdr:rowOff>
    </xdr:to>
    <xdr:sp macro="" textlink="">
      <xdr:nvSpPr>
        <xdr:cNvPr id="1037" name="ctl00_C_Ls_GridView2_ctl14_img1" descr="تفاصيل إضافية للشركة">
          <a:extLst>
            <a:ext uri="{FF2B5EF4-FFF2-40B4-BE49-F238E27FC236}">
              <a16:creationId xmlns:a16="http://schemas.microsoft.com/office/drawing/2014/main" id="{355F663B-0B18-9C86-078E-78AAB16202D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77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243840</xdr:colOff>
      <xdr:row>15</xdr:row>
      <xdr:rowOff>99060</xdr:rowOff>
    </xdr:to>
    <xdr:sp macro="" textlink="">
      <xdr:nvSpPr>
        <xdr:cNvPr id="1038" name="ctl00_C_Ls_GridView2_ctl15_img1" descr="تفاصيل إضافية للشركة">
          <a:extLst>
            <a:ext uri="{FF2B5EF4-FFF2-40B4-BE49-F238E27FC236}">
              <a16:creationId xmlns:a16="http://schemas.microsoft.com/office/drawing/2014/main" id="{041BE0BD-52BA-9891-6585-E19600ADA38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60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243840</xdr:colOff>
      <xdr:row>16</xdr:row>
      <xdr:rowOff>99060</xdr:rowOff>
    </xdr:to>
    <xdr:sp macro="" textlink="">
      <xdr:nvSpPr>
        <xdr:cNvPr id="1039" name="ctl00_C_Ls_GridView2_ctl16_img1" descr="تفاصيل إضافية للشركة">
          <a:extLst>
            <a:ext uri="{FF2B5EF4-FFF2-40B4-BE49-F238E27FC236}">
              <a16:creationId xmlns:a16="http://schemas.microsoft.com/office/drawing/2014/main" id="{7B627611-F854-14C9-7D3A-1CD68313157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43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243840</xdr:colOff>
      <xdr:row>17</xdr:row>
      <xdr:rowOff>99060</xdr:rowOff>
    </xdr:to>
    <xdr:sp macro="" textlink="">
      <xdr:nvSpPr>
        <xdr:cNvPr id="1040" name="ctl00_C_Ls_GridView2_ctl17_img1" descr="تفاصيل إضافية للشركة">
          <a:extLst>
            <a:ext uri="{FF2B5EF4-FFF2-40B4-BE49-F238E27FC236}">
              <a16:creationId xmlns:a16="http://schemas.microsoft.com/office/drawing/2014/main" id="{874A2479-AE68-7BD6-ECE5-2706281719A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26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243840</xdr:colOff>
      <xdr:row>18</xdr:row>
      <xdr:rowOff>99060</xdr:rowOff>
    </xdr:to>
    <xdr:sp macro="" textlink="">
      <xdr:nvSpPr>
        <xdr:cNvPr id="1041" name="ctl00_C_Ls_GridView2_ctl18_img1" descr="تفاصيل إضافية للشركة">
          <a:extLst>
            <a:ext uri="{FF2B5EF4-FFF2-40B4-BE49-F238E27FC236}">
              <a16:creationId xmlns:a16="http://schemas.microsoft.com/office/drawing/2014/main" id="{990F48F0-A2B6-657F-4B77-A0AF5AB5BA5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108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243840</xdr:colOff>
      <xdr:row>19</xdr:row>
      <xdr:rowOff>0</xdr:rowOff>
    </xdr:to>
    <xdr:sp macro="" textlink="">
      <xdr:nvSpPr>
        <xdr:cNvPr id="1042" name="ctl00_C_Ls_GridView2_ctl19_img1" descr="تفاصيل إضافية للشركة">
          <a:extLst>
            <a:ext uri="{FF2B5EF4-FFF2-40B4-BE49-F238E27FC236}">
              <a16:creationId xmlns:a16="http://schemas.microsoft.com/office/drawing/2014/main" id="{23EE7A65-D3B2-46E2-060D-7ECFF59FF2A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9184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243840</xdr:colOff>
      <xdr:row>20</xdr:row>
      <xdr:rowOff>99060</xdr:rowOff>
    </xdr:to>
    <xdr:sp macro="" textlink="">
      <xdr:nvSpPr>
        <xdr:cNvPr id="1043" name="ctl00_C_Ls_GridView2_ctl20_img1" descr="تفاصيل إضافية للشركة">
          <a:extLst>
            <a:ext uri="{FF2B5EF4-FFF2-40B4-BE49-F238E27FC236}">
              <a16:creationId xmlns:a16="http://schemas.microsoft.com/office/drawing/2014/main" id="{A970E995-8646-F000-B40F-A7F3F59A7BE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74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243840</xdr:colOff>
      <xdr:row>21</xdr:row>
      <xdr:rowOff>99060</xdr:rowOff>
    </xdr:to>
    <xdr:sp macro="" textlink="">
      <xdr:nvSpPr>
        <xdr:cNvPr id="1044" name="ctl00_C_Ls_GridView2_ctl21_img1" descr="تفاصيل إضافية للشركة">
          <a:extLst>
            <a:ext uri="{FF2B5EF4-FFF2-40B4-BE49-F238E27FC236}">
              <a16:creationId xmlns:a16="http://schemas.microsoft.com/office/drawing/2014/main" id="{1EE471E2-15DB-74D4-C429-5D60C72AB41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57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243840</xdr:colOff>
      <xdr:row>22</xdr:row>
      <xdr:rowOff>99060</xdr:rowOff>
    </xdr:to>
    <xdr:sp macro="" textlink="">
      <xdr:nvSpPr>
        <xdr:cNvPr id="1045" name="ctl00_C_Ls_GridView2_ctl22_img1" descr="تفاصيل إضافية للشركة">
          <a:extLst>
            <a:ext uri="{FF2B5EF4-FFF2-40B4-BE49-F238E27FC236}">
              <a16:creationId xmlns:a16="http://schemas.microsoft.com/office/drawing/2014/main" id="{97B29BF8-24B4-58B8-BA97-BAB200506A6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40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243840</xdr:colOff>
      <xdr:row>23</xdr:row>
      <xdr:rowOff>99060</xdr:rowOff>
    </xdr:to>
    <xdr:sp macro="" textlink="">
      <xdr:nvSpPr>
        <xdr:cNvPr id="1046" name="ctl00_C_Ls_GridView2_ctl23_img1" descr="تفاصيل إضافية للشركة">
          <a:extLst>
            <a:ext uri="{FF2B5EF4-FFF2-40B4-BE49-F238E27FC236}">
              <a16:creationId xmlns:a16="http://schemas.microsoft.com/office/drawing/2014/main" id="{2677DBC7-703D-8335-ED98-6DF0E52289C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23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243840</xdr:colOff>
      <xdr:row>24</xdr:row>
      <xdr:rowOff>99060</xdr:rowOff>
    </xdr:to>
    <xdr:sp macro="" textlink="">
      <xdr:nvSpPr>
        <xdr:cNvPr id="1047" name="ctl00_C_Ls_GridView2_ctl24_img1" descr="تفاصيل إضافية للشركة">
          <a:extLst>
            <a:ext uri="{FF2B5EF4-FFF2-40B4-BE49-F238E27FC236}">
              <a16:creationId xmlns:a16="http://schemas.microsoft.com/office/drawing/2014/main" id="{746A1709-CA02-9F09-1B25-AF2774FAB36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06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243840</xdr:colOff>
      <xdr:row>25</xdr:row>
      <xdr:rowOff>99060</xdr:rowOff>
    </xdr:to>
    <xdr:sp macro="" textlink="">
      <xdr:nvSpPr>
        <xdr:cNvPr id="1048" name="ctl00_C_Ls_GridView2_ctl25_img1" descr="تفاصيل إضافية للشركة">
          <a:extLst>
            <a:ext uri="{FF2B5EF4-FFF2-40B4-BE49-F238E27FC236}">
              <a16:creationId xmlns:a16="http://schemas.microsoft.com/office/drawing/2014/main" id="{56E816EA-414B-B69F-144B-DDAB4A5EE27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389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243840</xdr:colOff>
      <xdr:row>26</xdr:row>
      <xdr:rowOff>99060</xdr:rowOff>
    </xdr:to>
    <xdr:sp macro="" textlink="">
      <xdr:nvSpPr>
        <xdr:cNvPr id="1049" name="ctl00_C_Ls_GridView2_ctl26_img1" descr="تفاصيل إضافية للشركة">
          <a:extLst>
            <a:ext uri="{FF2B5EF4-FFF2-40B4-BE49-F238E27FC236}">
              <a16:creationId xmlns:a16="http://schemas.microsoft.com/office/drawing/2014/main" id="{D7B61D64-B00B-110E-A30E-D214C8437A3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572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243840</xdr:colOff>
      <xdr:row>27</xdr:row>
      <xdr:rowOff>99060</xdr:rowOff>
    </xdr:to>
    <xdr:sp macro="" textlink="">
      <xdr:nvSpPr>
        <xdr:cNvPr id="1050" name="ctl00_C_Ls_GridView2_ctl27_img1" descr="تفاصيل إضافية للشركة">
          <a:extLst>
            <a:ext uri="{FF2B5EF4-FFF2-40B4-BE49-F238E27FC236}">
              <a16:creationId xmlns:a16="http://schemas.microsoft.com/office/drawing/2014/main" id="{C1B3B4E9-502F-53E3-6B15-0B8BBF1EEFA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754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243840</xdr:colOff>
      <xdr:row>28</xdr:row>
      <xdr:rowOff>99060</xdr:rowOff>
    </xdr:to>
    <xdr:sp macro="" textlink="">
      <xdr:nvSpPr>
        <xdr:cNvPr id="1051" name="ctl00_C_Ls_GridView2_ctl28_img1" descr="تفاصيل إضافية للشركة">
          <a:extLst>
            <a:ext uri="{FF2B5EF4-FFF2-40B4-BE49-F238E27FC236}">
              <a16:creationId xmlns:a16="http://schemas.microsoft.com/office/drawing/2014/main" id="{FF0EBD55-EED5-BC1D-ECE0-D98F8AFF5E5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937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243840</xdr:colOff>
      <xdr:row>29</xdr:row>
      <xdr:rowOff>99060</xdr:rowOff>
    </xdr:to>
    <xdr:sp macro="" textlink="">
      <xdr:nvSpPr>
        <xdr:cNvPr id="1052" name="ctl00_C_Ls_GridView2_ctl29_img1" descr="تفاصيل إضافية للشركة">
          <a:extLst>
            <a:ext uri="{FF2B5EF4-FFF2-40B4-BE49-F238E27FC236}">
              <a16:creationId xmlns:a16="http://schemas.microsoft.com/office/drawing/2014/main" id="{DA3262EF-F0E3-7592-E6B7-8D8140088D5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5120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243840</xdr:colOff>
      <xdr:row>30</xdr:row>
      <xdr:rowOff>99060</xdr:rowOff>
    </xdr:to>
    <xdr:sp macro="" textlink="">
      <xdr:nvSpPr>
        <xdr:cNvPr id="1053" name="ctl00_C_Ls_GridView2_ctl30_img1" descr="تفاصيل إضافية للشركة">
          <a:extLst>
            <a:ext uri="{FF2B5EF4-FFF2-40B4-BE49-F238E27FC236}">
              <a16:creationId xmlns:a16="http://schemas.microsoft.com/office/drawing/2014/main" id="{EBEBA17C-3E92-D512-E20D-AF6869EE693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5303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243840</xdr:colOff>
      <xdr:row>31</xdr:row>
      <xdr:rowOff>99060</xdr:rowOff>
    </xdr:to>
    <xdr:sp macro="" textlink="">
      <xdr:nvSpPr>
        <xdr:cNvPr id="1054" name="ctl00_C_Ls_GridView2_ctl31_img1" descr="تفاصيل إضافية للشركة">
          <a:extLst>
            <a:ext uri="{FF2B5EF4-FFF2-40B4-BE49-F238E27FC236}">
              <a16:creationId xmlns:a16="http://schemas.microsoft.com/office/drawing/2014/main" id="{7A37F5B8-8AAD-1570-F61E-BEE1D483E92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5486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243840</xdr:colOff>
      <xdr:row>32</xdr:row>
      <xdr:rowOff>99060</xdr:rowOff>
    </xdr:to>
    <xdr:sp macro="" textlink="">
      <xdr:nvSpPr>
        <xdr:cNvPr id="1055" name="ctl00_C_Ls_GridView2_ctl32_img1" descr="تفاصيل إضافية للشركة">
          <a:extLst>
            <a:ext uri="{FF2B5EF4-FFF2-40B4-BE49-F238E27FC236}">
              <a16:creationId xmlns:a16="http://schemas.microsoft.com/office/drawing/2014/main" id="{8F5FAA67-FEEF-70A6-5EB7-45DB4611F5F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5669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243840</xdr:colOff>
      <xdr:row>33</xdr:row>
      <xdr:rowOff>99060</xdr:rowOff>
    </xdr:to>
    <xdr:sp macro="" textlink="">
      <xdr:nvSpPr>
        <xdr:cNvPr id="1056" name="ctl00_C_Ls_GridView2_ctl33_img1" descr="تفاصيل إضافية للشركة">
          <a:extLst>
            <a:ext uri="{FF2B5EF4-FFF2-40B4-BE49-F238E27FC236}">
              <a16:creationId xmlns:a16="http://schemas.microsoft.com/office/drawing/2014/main" id="{34BB81EC-CF22-05A9-E678-012CFBDB455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5852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243840</xdr:colOff>
      <xdr:row>34</xdr:row>
      <xdr:rowOff>99060</xdr:rowOff>
    </xdr:to>
    <xdr:sp macro="" textlink="">
      <xdr:nvSpPr>
        <xdr:cNvPr id="1057" name="ctl00_C_Ls_GridView2_ctl34_img1" descr="تفاصيل إضافية للشركة">
          <a:extLst>
            <a:ext uri="{FF2B5EF4-FFF2-40B4-BE49-F238E27FC236}">
              <a16:creationId xmlns:a16="http://schemas.microsoft.com/office/drawing/2014/main" id="{45441FAB-D673-179A-77CE-18EDC6A45A6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6035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243840</xdr:colOff>
      <xdr:row>35</xdr:row>
      <xdr:rowOff>99060</xdr:rowOff>
    </xdr:to>
    <xdr:sp macro="" textlink="">
      <xdr:nvSpPr>
        <xdr:cNvPr id="1058" name="ctl00_C_Ls_GridView2_ctl35_img1" descr="تفاصيل إضافية للشركة">
          <a:extLst>
            <a:ext uri="{FF2B5EF4-FFF2-40B4-BE49-F238E27FC236}">
              <a16:creationId xmlns:a16="http://schemas.microsoft.com/office/drawing/2014/main" id="{CD05DCF8-FEDC-3A61-C93C-488E93A4770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6217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243840</xdr:colOff>
      <xdr:row>36</xdr:row>
      <xdr:rowOff>99060</xdr:rowOff>
    </xdr:to>
    <xdr:sp macro="" textlink="">
      <xdr:nvSpPr>
        <xdr:cNvPr id="1059" name="ctl00_C_Ls_GridView2_ctl36_img1" descr="تفاصيل إضافية للشركة">
          <a:extLst>
            <a:ext uri="{FF2B5EF4-FFF2-40B4-BE49-F238E27FC236}">
              <a16:creationId xmlns:a16="http://schemas.microsoft.com/office/drawing/2014/main" id="{617E7F9B-5CF2-093A-7162-F773449E6EF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6400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243840</xdr:colOff>
      <xdr:row>37</xdr:row>
      <xdr:rowOff>99060</xdr:rowOff>
    </xdr:to>
    <xdr:sp macro="" textlink="">
      <xdr:nvSpPr>
        <xdr:cNvPr id="1060" name="ctl00_C_Ls_GridView2_ctl37_img1" descr="تفاصيل إضافية للشركة">
          <a:extLst>
            <a:ext uri="{FF2B5EF4-FFF2-40B4-BE49-F238E27FC236}">
              <a16:creationId xmlns:a16="http://schemas.microsoft.com/office/drawing/2014/main" id="{8451EA65-6C1C-00EA-F9C0-2E3F8CE7E3E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6583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243840</xdr:colOff>
      <xdr:row>38</xdr:row>
      <xdr:rowOff>99060</xdr:rowOff>
    </xdr:to>
    <xdr:sp macro="" textlink="">
      <xdr:nvSpPr>
        <xdr:cNvPr id="1061" name="ctl00_C_Ls_GridView2_ctl38_img1" descr="تفاصيل إضافية للشركة">
          <a:extLst>
            <a:ext uri="{FF2B5EF4-FFF2-40B4-BE49-F238E27FC236}">
              <a16:creationId xmlns:a16="http://schemas.microsoft.com/office/drawing/2014/main" id="{BAEC7399-CBC0-0D1F-4BDB-76964E99A2D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6766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243840</xdr:colOff>
      <xdr:row>39</xdr:row>
      <xdr:rowOff>99060</xdr:rowOff>
    </xdr:to>
    <xdr:sp macro="" textlink="">
      <xdr:nvSpPr>
        <xdr:cNvPr id="1062" name="ctl00_C_Ls_GridView2_ctl39_img1" descr="تفاصيل إضافية للشركة">
          <a:extLst>
            <a:ext uri="{FF2B5EF4-FFF2-40B4-BE49-F238E27FC236}">
              <a16:creationId xmlns:a16="http://schemas.microsoft.com/office/drawing/2014/main" id="{803F707D-80F4-F609-23DE-A4BB034B4E5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6949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243840</xdr:colOff>
      <xdr:row>40</xdr:row>
      <xdr:rowOff>99060</xdr:rowOff>
    </xdr:to>
    <xdr:sp macro="" textlink="">
      <xdr:nvSpPr>
        <xdr:cNvPr id="1063" name="ctl00_C_Ls_GridView2_ctl40_img1" descr="تفاصيل إضافية للشركة">
          <a:extLst>
            <a:ext uri="{FF2B5EF4-FFF2-40B4-BE49-F238E27FC236}">
              <a16:creationId xmlns:a16="http://schemas.microsoft.com/office/drawing/2014/main" id="{5BD4F1B8-6AAB-60E7-312D-0D650AD6840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7132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243840</xdr:colOff>
      <xdr:row>41</xdr:row>
      <xdr:rowOff>99060</xdr:rowOff>
    </xdr:to>
    <xdr:sp macro="" textlink="">
      <xdr:nvSpPr>
        <xdr:cNvPr id="1064" name="ctl00_C_Ls_GridView2_ctl41_img1" descr="تفاصيل إضافية للشركة">
          <a:extLst>
            <a:ext uri="{FF2B5EF4-FFF2-40B4-BE49-F238E27FC236}">
              <a16:creationId xmlns:a16="http://schemas.microsoft.com/office/drawing/2014/main" id="{8522EC1F-F9E1-C588-770C-67C6F3E7289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7315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243840</xdr:colOff>
      <xdr:row>42</xdr:row>
      <xdr:rowOff>99060</xdr:rowOff>
    </xdr:to>
    <xdr:sp macro="" textlink="">
      <xdr:nvSpPr>
        <xdr:cNvPr id="1065" name="ctl00_C_Ls_GridView2_ctl42_img1" descr="تفاصيل إضافية للشركة">
          <a:extLst>
            <a:ext uri="{FF2B5EF4-FFF2-40B4-BE49-F238E27FC236}">
              <a16:creationId xmlns:a16="http://schemas.microsoft.com/office/drawing/2014/main" id="{2A37F6BB-1293-59ED-204B-1F0583D5ACC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7498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243840</xdr:colOff>
      <xdr:row>43</xdr:row>
      <xdr:rowOff>99060</xdr:rowOff>
    </xdr:to>
    <xdr:sp macro="" textlink="">
      <xdr:nvSpPr>
        <xdr:cNvPr id="1066" name="ctl00_C_Ls_GridView2_ctl43_img1" descr="تفاصيل إضافية للشركة">
          <a:extLst>
            <a:ext uri="{FF2B5EF4-FFF2-40B4-BE49-F238E27FC236}">
              <a16:creationId xmlns:a16="http://schemas.microsoft.com/office/drawing/2014/main" id="{2E5BB333-EB09-2002-6F61-72CC7EC6A1E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7680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243840</xdr:colOff>
      <xdr:row>44</xdr:row>
      <xdr:rowOff>99060</xdr:rowOff>
    </xdr:to>
    <xdr:sp macro="" textlink="">
      <xdr:nvSpPr>
        <xdr:cNvPr id="1067" name="ctl00_C_Ls_GridView2_ctl44_img1" descr="تفاصيل إضافية للشركة">
          <a:extLst>
            <a:ext uri="{FF2B5EF4-FFF2-40B4-BE49-F238E27FC236}">
              <a16:creationId xmlns:a16="http://schemas.microsoft.com/office/drawing/2014/main" id="{8E14E0DA-1B37-86BD-9C75-412C856918E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7863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243840</xdr:colOff>
      <xdr:row>45</xdr:row>
      <xdr:rowOff>99060</xdr:rowOff>
    </xdr:to>
    <xdr:sp macro="" textlink="">
      <xdr:nvSpPr>
        <xdr:cNvPr id="1068" name="ctl00_C_Ls_GridView2_ctl45_img1" descr="تفاصيل إضافية للشركة">
          <a:extLst>
            <a:ext uri="{FF2B5EF4-FFF2-40B4-BE49-F238E27FC236}">
              <a16:creationId xmlns:a16="http://schemas.microsoft.com/office/drawing/2014/main" id="{DA54D958-9E89-0308-564B-C09346A90A9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8046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243840</xdr:colOff>
      <xdr:row>46</xdr:row>
      <xdr:rowOff>99060</xdr:rowOff>
    </xdr:to>
    <xdr:sp macro="" textlink="">
      <xdr:nvSpPr>
        <xdr:cNvPr id="1069" name="ctl00_C_Ls_GridView2_ctl46_img1" descr="تفاصيل إضافية للشركة">
          <a:extLst>
            <a:ext uri="{FF2B5EF4-FFF2-40B4-BE49-F238E27FC236}">
              <a16:creationId xmlns:a16="http://schemas.microsoft.com/office/drawing/2014/main" id="{A9F3B9C0-C8F8-8913-0CA9-D46C093322F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8229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243840</xdr:colOff>
      <xdr:row>47</xdr:row>
      <xdr:rowOff>99060</xdr:rowOff>
    </xdr:to>
    <xdr:sp macro="" textlink="">
      <xdr:nvSpPr>
        <xdr:cNvPr id="1070" name="ctl00_C_Ls_GridView2_ctl47_img1" descr="تفاصيل إضافية للشركة">
          <a:extLst>
            <a:ext uri="{FF2B5EF4-FFF2-40B4-BE49-F238E27FC236}">
              <a16:creationId xmlns:a16="http://schemas.microsoft.com/office/drawing/2014/main" id="{75534867-FFCF-4A77-1297-1B1FA93C230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8412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243840</xdr:colOff>
      <xdr:row>48</xdr:row>
      <xdr:rowOff>99060</xdr:rowOff>
    </xdr:to>
    <xdr:sp macro="" textlink="">
      <xdr:nvSpPr>
        <xdr:cNvPr id="1071" name="ctl00_C_Ls_GridView2_ctl48_img1" descr="تفاصيل إضافية للشركة">
          <a:extLst>
            <a:ext uri="{FF2B5EF4-FFF2-40B4-BE49-F238E27FC236}">
              <a16:creationId xmlns:a16="http://schemas.microsoft.com/office/drawing/2014/main" id="{4B2BA9F2-E98D-CE5B-5BF1-FCC123B9451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8595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243840</xdr:colOff>
      <xdr:row>49</xdr:row>
      <xdr:rowOff>99060</xdr:rowOff>
    </xdr:to>
    <xdr:sp macro="" textlink="">
      <xdr:nvSpPr>
        <xdr:cNvPr id="1072" name="ctl00_C_Ls_GridView2_ctl49_img1" descr="تفاصيل إضافية للشركة">
          <a:extLst>
            <a:ext uri="{FF2B5EF4-FFF2-40B4-BE49-F238E27FC236}">
              <a16:creationId xmlns:a16="http://schemas.microsoft.com/office/drawing/2014/main" id="{3DA9C6CD-4C85-1A6D-C0AB-CE9C8CF78DE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8778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243840</xdr:colOff>
      <xdr:row>50</xdr:row>
      <xdr:rowOff>99060</xdr:rowOff>
    </xdr:to>
    <xdr:sp macro="" textlink="">
      <xdr:nvSpPr>
        <xdr:cNvPr id="1073" name="ctl00_C_Ls_GridView2_ctl50_img1" descr="تفاصيل إضافية للشركة">
          <a:extLst>
            <a:ext uri="{FF2B5EF4-FFF2-40B4-BE49-F238E27FC236}">
              <a16:creationId xmlns:a16="http://schemas.microsoft.com/office/drawing/2014/main" id="{2036BFF5-E770-38EA-D782-7497CD60DAF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8961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243840</xdr:colOff>
      <xdr:row>51</xdr:row>
      <xdr:rowOff>99060</xdr:rowOff>
    </xdr:to>
    <xdr:sp macro="" textlink="">
      <xdr:nvSpPr>
        <xdr:cNvPr id="1074" name="ctl00_C_Ls_GridView2_ctl51_img1" descr="تفاصيل إضافية للشركة">
          <a:extLst>
            <a:ext uri="{FF2B5EF4-FFF2-40B4-BE49-F238E27FC236}">
              <a16:creationId xmlns:a16="http://schemas.microsoft.com/office/drawing/2014/main" id="{4E88B722-8670-1C2B-3FCC-A054A1DFD7D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9144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243840</xdr:colOff>
      <xdr:row>52</xdr:row>
      <xdr:rowOff>99060</xdr:rowOff>
    </xdr:to>
    <xdr:sp macro="" textlink="">
      <xdr:nvSpPr>
        <xdr:cNvPr id="1075" name="ctl00_C_Ls_GridView2_ctl52_img1" descr="تفاصيل إضافية للشركة">
          <a:extLst>
            <a:ext uri="{FF2B5EF4-FFF2-40B4-BE49-F238E27FC236}">
              <a16:creationId xmlns:a16="http://schemas.microsoft.com/office/drawing/2014/main" id="{FF21EB5A-94EE-6EEF-438E-ED7E6A0207D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9326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243840</xdr:colOff>
      <xdr:row>53</xdr:row>
      <xdr:rowOff>99060</xdr:rowOff>
    </xdr:to>
    <xdr:sp macro="" textlink="">
      <xdr:nvSpPr>
        <xdr:cNvPr id="1076" name="ctl00_C_Ls_GridView2_ctl53_img1" descr="تفاصيل إضافية للشركة">
          <a:extLst>
            <a:ext uri="{FF2B5EF4-FFF2-40B4-BE49-F238E27FC236}">
              <a16:creationId xmlns:a16="http://schemas.microsoft.com/office/drawing/2014/main" id="{16E2E2E1-C472-EE72-3A63-67BEC4771B1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9509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243840</xdr:colOff>
      <xdr:row>54</xdr:row>
      <xdr:rowOff>99060</xdr:rowOff>
    </xdr:to>
    <xdr:sp macro="" textlink="">
      <xdr:nvSpPr>
        <xdr:cNvPr id="1077" name="ctl00_C_Ls_GridView2_ctl54_img1" descr="تفاصيل إضافية للشركة">
          <a:extLst>
            <a:ext uri="{FF2B5EF4-FFF2-40B4-BE49-F238E27FC236}">
              <a16:creationId xmlns:a16="http://schemas.microsoft.com/office/drawing/2014/main" id="{17C8DDAA-A282-28E7-F473-C5214C03B59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9692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54</xdr:row>
      <xdr:rowOff>0</xdr:rowOff>
    </xdr:from>
    <xdr:to>
      <xdr:col>8</xdr:col>
      <xdr:colOff>243840</xdr:colOff>
      <xdr:row>55</xdr:row>
      <xdr:rowOff>99060</xdr:rowOff>
    </xdr:to>
    <xdr:sp macro="" textlink="">
      <xdr:nvSpPr>
        <xdr:cNvPr id="1078" name="ctl00_C_Ls_GridView2_ctl55_img1" descr="تفاصيل إضافية للشركة">
          <a:extLst>
            <a:ext uri="{FF2B5EF4-FFF2-40B4-BE49-F238E27FC236}">
              <a16:creationId xmlns:a16="http://schemas.microsoft.com/office/drawing/2014/main" id="{6929876F-3A3C-D311-C7D4-C14327D0C35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9875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243840</xdr:colOff>
      <xdr:row>56</xdr:row>
      <xdr:rowOff>99060</xdr:rowOff>
    </xdr:to>
    <xdr:sp macro="" textlink="">
      <xdr:nvSpPr>
        <xdr:cNvPr id="1079" name="ctl00_C_Ls_GridView2_ctl56_img1" descr="تفاصيل إضافية للشركة">
          <a:extLst>
            <a:ext uri="{FF2B5EF4-FFF2-40B4-BE49-F238E27FC236}">
              <a16:creationId xmlns:a16="http://schemas.microsoft.com/office/drawing/2014/main" id="{CAA59BE7-E0E2-B824-B0C4-1A03B4C118F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058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243840</xdr:colOff>
      <xdr:row>57</xdr:row>
      <xdr:rowOff>0</xdr:rowOff>
    </xdr:to>
    <xdr:sp macro="" textlink="">
      <xdr:nvSpPr>
        <xdr:cNvPr id="1080" name="ctl00_C_Ls_GridView2_ctl57_img1" descr="تفاصيل إضافية للشركة">
          <a:extLst>
            <a:ext uri="{FF2B5EF4-FFF2-40B4-BE49-F238E27FC236}">
              <a16:creationId xmlns:a16="http://schemas.microsoft.com/office/drawing/2014/main" id="{D484AF96-0063-6208-AC55-134703A182B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24128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57</xdr:row>
      <xdr:rowOff>0</xdr:rowOff>
    </xdr:from>
    <xdr:to>
      <xdr:col>8</xdr:col>
      <xdr:colOff>243840</xdr:colOff>
      <xdr:row>58</xdr:row>
      <xdr:rowOff>99060</xdr:rowOff>
    </xdr:to>
    <xdr:sp macro="" textlink="">
      <xdr:nvSpPr>
        <xdr:cNvPr id="1081" name="ctl00_C_Ls_GridView2_ctl58_img1" descr="تفاصيل إضافية للشركة">
          <a:extLst>
            <a:ext uri="{FF2B5EF4-FFF2-40B4-BE49-F238E27FC236}">
              <a16:creationId xmlns:a16="http://schemas.microsoft.com/office/drawing/2014/main" id="{E3CFEA49-7C4B-B8F5-A00D-3438A014856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424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58</xdr:row>
      <xdr:rowOff>0</xdr:rowOff>
    </xdr:from>
    <xdr:to>
      <xdr:col>8</xdr:col>
      <xdr:colOff>243840</xdr:colOff>
      <xdr:row>59</xdr:row>
      <xdr:rowOff>99060</xdr:rowOff>
    </xdr:to>
    <xdr:sp macro="" textlink="">
      <xdr:nvSpPr>
        <xdr:cNvPr id="1082" name="ctl00_C_Ls_GridView2_ctl59_img1" descr="تفاصيل إضافية للشركة">
          <a:extLst>
            <a:ext uri="{FF2B5EF4-FFF2-40B4-BE49-F238E27FC236}">
              <a16:creationId xmlns:a16="http://schemas.microsoft.com/office/drawing/2014/main" id="{CA636D9C-DFD7-EBAD-438C-44D58E2EAD6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607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59</xdr:row>
      <xdr:rowOff>0</xdr:rowOff>
    </xdr:from>
    <xdr:to>
      <xdr:col>8</xdr:col>
      <xdr:colOff>243840</xdr:colOff>
      <xdr:row>60</xdr:row>
      <xdr:rowOff>99060</xdr:rowOff>
    </xdr:to>
    <xdr:sp macro="" textlink="">
      <xdr:nvSpPr>
        <xdr:cNvPr id="1083" name="ctl00_C_Ls_GridView2_ctl60_img1" descr="تفاصيل إضافية للشركة">
          <a:extLst>
            <a:ext uri="{FF2B5EF4-FFF2-40B4-BE49-F238E27FC236}">
              <a16:creationId xmlns:a16="http://schemas.microsoft.com/office/drawing/2014/main" id="{022631BB-3B66-A328-DEBA-F0FD382CCB5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789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243840</xdr:colOff>
      <xdr:row>61</xdr:row>
      <xdr:rowOff>99060</xdr:rowOff>
    </xdr:to>
    <xdr:sp macro="" textlink="">
      <xdr:nvSpPr>
        <xdr:cNvPr id="1084" name="ctl00_C_Ls_GridView2_ctl61_img1" descr="تفاصيل إضافية للشركة">
          <a:extLst>
            <a:ext uri="{FF2B5EF4-FFF2-40B4-BE49-F238E27FC236}">
              <a16:creationId xmlns:a16="http://schemas.microsoft.com/office/drawing/2014/main" id="{D22DC5B9-0DF2-8F53-5B87-8E3797FACDD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0972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61</xdr:row>
      <xdr:rowOff>0</xdr:rowOff>
    </xdr:from>
    <xdr:to>
      <xdr:col>8</xdr:col>
      <xdr:colOff>243840</xdr:colOff>
      <xdr:row>62</xdr:row>
      <xdr:rowOff>99060</xdr:rowOff>
    </xdr:to>
    <xdr:sp macro="" textlink="">
      <xdr:nvSpPr>
        <xdr:cNvPr id="1085" name="ctl00_C_Ls_GridView2_ctl62_img1" descr="تفاصيل إضافية للشركة">
          <a:extLst>
            <a:ext uri="{FF2B5EF4-FFF2-40B4-BE49-F238E27FC236}">
              <a16:creationId xmlns:a16="http://schemas.microsoft.com/office/drawing/2014/main" id="{1FAE83C9-DC17-15FA-289E-4C93B8E1B87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1155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62</xdr:row>
      <xdr:rowOff>0</xdr:rowOff>
    </xdr:from>
    <xdr:to>
      <xdr:col>8</xdr:col>
      <xdr:colOff>243840</xdr:colOff>
      <xdr:row>63</xdr:row>
      <xdr:rowOff>99060</xdr:rowOff>
    </xdr:to>
    <xdr:sp macro="" textlink="">
      <xdr:nvSpPr>
        <xdr:cNvPr id="1086" name="ctl00_C_Ls_GridView2_ctl63_img1" descr="تفاصيل إضافية للشركة">
          <a:extLst>
            <a:ext uri="{FF2B5EF4-FFF2-40B4-BE49-F238E27FC236}">
              <a16:creationId xmlns:a16="http://schemas.microsoft.com/office/drawing/2014/main" id="{0C2785D8-9AE0-49CD-F6EA-78603054FB0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1338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63</xdr:row>
      <xdr:rowOff>0</xdr:rowOff>
    </xdr:from>
    <xdr:to>
      <xdr:col>8</xdr:col>
      <xdr:colOff>243840</xdr:colOff>
      <xdr:row>64</xdr:row>
      <xdr:rowOff>99060</xdr:rowOff>
    </xdr:to>
    <xdr:sp macro="" textlink="">
      <xdr:nvSpPr>
        <xdr:cNvPr id="1087" name="ctl00_C_Ls_GridView2_ctl64_img1" descr="تفاصيل إضافية للشركة">
          <a:extLst>
            <a:ext uri="{FF2B5EF4-FFF2-40B4-BE49-F238E27FC236}">
              <a16:creationId xmlns:a16="http://schemas.microsoft.com/office/drawing/2014/main" id="{8D7EB9DB-3417-BA6E-7C62-D5F419DE8F4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1521440"/>
          <a:ext cx="243840" cy="464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243840</xdr:colOff>
      <xdr:row>65</xdr:row>
      <xdr:rowOff>99060</xdr:rowOff>
    </xdr:to>
    <xdr:sp macro="" textlink="">
      <xdr:nvSpPr>
        <xdr:cNvPr id="1088" name="ctl00_C_Ls_GridView2_ctl65_img1" descr="تفاصيل إضافية للشركة">
          <a:extLst>
            <a:ext uri="{FF2B5EF4-FFF2-40B4-BE49-F238E27FC236}">
              <a16:creationId xmlns:a16="http://schemas.microsoft.com/office/drawing/2014/main" id="{8F321D36-6554-443E-5F3E-5E5BB91901E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1887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65</xdr:row>
      <xdr:rowOff>0</xdr:rowOff>
    </xdr:from>
    <xdr:to>
      <xdr:col>8</xdr:col>
      <xdr:colOff>243840</xdr:colOff>
      <xdr:row>66</xdr:row>
      <xdr:rowOff>99060</xdr:rowOff>
    </xdr:to>
    <xdr:sp macro="" textlink="">
      <xdr:nvSpPr>
        <xdr:cNvPr id="1089" name="ctl00_C_Ls_GridView2_ctl66_img1" descr="تفاصيل إضافية للشركة">
          <a:extLst>
            <a:ext uri="{FF2B5EF4-FFF2-40B4-BE49-F238E27FC236}">
              <a16:creationId xmlns:a16="http://schemas.microsoft.com/office/drawing/2014/main" id="{21F4B0E7-F0B0-957A-FF6F-CF2FC1253C5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070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66</xdr:row>
      <xdr:rowOff>0</xdr:rowOff>
    </xdr:from>
    <xdr:to>
      <xdr:col>8</xdr:col>
      <xdr:colOff>243840</xdr:colOff>
      <xdr:row>67</xdr:row>
      <xdr:rowOff>99060</xdr:rowOff>
    </xdr:to>
    <xdr:sp macro="" textlink="">
      <xdr:nvSpPr>
        <xdr:cNvPr id="1090" name="ctl00_C_Ls_GridView2_ctl67_img1" descr="تفاصيل إضافية للشركة">
          <a:extLst>
            <a:ext uri="{FF2B5EF4-FFF2-40B4-BE49-F238E27FC236}">
              <a16:creationId xmlns:a16="http://schemas.microsoft.com/office/drawing/2014/main" id="{FF5AAB2A-79E0-B98D-663C-2516E16C426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252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67</xdr:row>
      <xdr:rowOff>0</xdr:rowOff>
    </xdr:from>
    <xdr:to>
      <xdr:col>8</xdr:col>
      <xdr:colOff>243840</xdr:colOff>
      <xdr:row>68</xdr:row>
      <xdr:rowOff>99060</xdr:rowOff>
    </xdr:to>
    <xdr:sp macro="" textlink="">
      <xdr:nvSpPr>
        <xdr:cNvPr id="1091" name="ctl00_C_Ls_GridView2_ctl68_img1" descr="تفاصيل إضافية للشركة">
          <a:extLst>
            <a:ext uri="{FF2B5EF4-FFF2-40B4-BE49-F238E27FC236}">
              <a16:creationId xmlns:a16="http://schemas.microsoft.com/office/drawing/2014/main" id="{05D8A1D0-0ED2-7F8D-14F8-BB81B798ACC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435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243840</xdr:colOff>
      <xdr:row>69</xdr:row>
      <xdr:rowOff>99060</xdr:rowOff>
    </xdr:to>
    <xdr:sp macro="" textlink="">
      <xdr:nvSpPr>
        <xdr:cNvPr id="1092" name="ctl00_C_Ls_GridView2_ctl69_img1" descr="تفاصيل إضافية للشركة">
          <a:extLst>
            <a:ext uri="{FF2B5EF4-FFF2-40B4-BE49-F238E27FC236}">
              <a16:creationId xmlns:a16="http://schemas.microsoft.com/office/drawing/2014/main" id="{51A2A985-931F-1DD6-045F-089B6F46AB7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618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69</xdr:row>
      <xdr:rowOff>0</xdr:rowOff>
    </xdr:from>
    <xdr:to>
      <xdr:col>8</xdr:col>
      <xdr:colOff>243840</xdr:colOff>
      <xdr:row>70</xdr:row>
      <xdr:rowOff>99060</xdr:rowOff>
    </xdr:to>
    <xdr:sp macro="" textlink="">
      <xdr:nvSpPr>
        <xdr:cNvPr id="1093" name="ctl00_C_Ls_GridView2_ctl70_img1" descr="تفاصيل إضافية للشركة">
          <a:extLst>
            <a:ext uri="{FF2B5EF4-FFF2-40B4-BE49-F238E27FC236}">
              <a16:creationId xmlns:a16="http://schemas.microsoft.com/office/drawing/2014/main" id="{1CF4EE50-10F2-E437-8DCD-96C11FB30C9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801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70</xdr:row>
      <xdr:rowOff>0</xdr:rowOff>
    </xdr:from>
    <xdr:to>
      <xdr:col>8</xdr:col>
      <xdr:colOff>243840</xdr:colOff>
      <xdr:row>71</xdr:row>
      <xdr:rowOff>99060</xdr:rowOff>
    </xdr:to>
    <xdr:sp macro="" textlink="">
      <xdr:nvSpPr>
        <xdr:cNvPr id="1094" name="ctl00_C_Ls_GridView2_ctl71_img1" descr="تفاصيل إضافية للشركة">
          <a:extLst>
            <a:ext uri="{FF2B5EF4-FFF2-40B4-BE49-F238E27FC236}">
              <a16:creationId xmlns:a16="http://schemas.microsoft.com/office/drawing/2014/main" id="{A112BBBE-A01B-9A0C-27A6-22843E38370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2984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71</xdr:row>
      <xdr:rowOff>0</xdr:rowOff>
    </xdr:from>
    <xdr:to>
      <xdr:col>8</xdr:col>
      <xdr:colOff>243840</xdr:colOff>
      <xdr:row>72</xdr:row>
      <xdr:rowOff>99060</xdr:rowOff>
    </xdr:to>
    <xdr:sp macro="" textlink="">
      <xdr:nvSpPr>
        <xdr:cNvPr id="1095" name="ctl00_C_Ls_GridView2_ctl72_img1" descr="تفاصيل إضافية للشركة">
          <a:extLst>
            <a:ext uri="{FF2B5EF4-FFF2-40B4-BE49-F238E27FC236}">
              <a16:creationId xmlns:a16="http://schemas.microsoft.com/office/drawing/2014/main" id="{EE4C0D20-F315-3DBB-4515-A871E663E7D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3167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243840</xdr:colOff>
      <xdr:row>73</xdr:row>
      <xdr:rowOff>99060</xdr:rowOff>
    </xdr:to>
    <xdr:sp macro="" textlink="">
      <xdr:nvSpPr>
        <xdr:cNvPr id="1096" name="ctl00_C_Ls_GridView2_ctl73_img1" descr="تفاصيل إضافية للشركة">
          <a:extLst>
            <a:ext uri="{FF2B5EF4-FFF2-40B4-BE49-F238E27FC236}">
              <a16:creationId xmlns:a16="http://schemas.microsoft.com/office/drawing/2014/main" id="{4AFE6E28-844A-D2A8-41FC-3CF686D1333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3350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73</xdr:row>
      <xdr:rowOff>0</xdr:rowOff>
    </xdr:from>
    <xdr:to>
      <xdr:col>8</xdr:col>
      <xdr:colOff>243840</xdr:colOff>
      <xdr:row>74</xdr:row>
      <xdr:rowOff>99060</xdr:rowOff>
    </xdr:to>
    <xdr:sp macro="" textlink="">
      <xdr:nvSpPr>
        <xdr:cNvPr id="1097" name="ctl00_C_Ls_GridView2_ctl74_img1" descr="تفاصيل إضافية للشركة">
          <a:extLst>
            <a:ext uri="{FF2B5EF4-FFF2-40B4-BE49-F238E27FC236}">
              <a16:creationId xmlns:a16="http://schemas.microsoft.com/office/drawing/2014/main" id="{9B67E333-E1EA-288D-9427-B4FAE4D05B5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3533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74</xdr:row>
      <xdr:rowOff>0</xdr:rowOff>
    </xdr:from>
    <xdr:to>
      <xdr:col>8</xdr:col>
      <xdr:colOff>243840</xdr:colOff>
      <xdr:row>75</xdr:row>
      <xdr:rowOff>0</xdr:rowOff>
    </xdr:to>
    <xdr:sp macro="" textlink="">
      <xdr:nvSpPr>
        <xdr:cNvPr id="1098" name="ctl00_C_Ls_GridView2_ctl75_img1" descr="تفاصيل إضافية للشركة">
          <a:extLst>
            <a:ext uri="{FF2B5EF4-FFF2-40B4-BE49-F238E27FC236}">
              <a16:creationId xmlns:a16="http://schemas.microsoft.com/office/drawing/2014/main" id="{A8E0B150-B5C0-212D-063D-43DBEA1BF6E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371600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75</xdr:row>
      <xdr:rowOff>0</xdr:rowOff>
    </xdr:from>
    <xdr:to>
      <xdr:col>8</xdr:col>
      <xdr:colOff>243840</xdr:colOff>
      <xdr:row>76</xdr:row>
      <xdr:rowOff>99060</xdr:rowOff>
    </xdr:to>
    <xdr:sp macro="" textlink="">
      <xdr:nvSpPr>
        <xdr:cNvPr id="1099" name="ctl00_C_Ls_GridView2_ctl76_img1" descr="تفاصيل إضافية للشركة">
          <a:extLst>
            <a:ext uri="{FF2B5EF4-FFF2-40B4-BE49-F238E27FC236}">
              <a16:creationId xmlns:a16="http://schemas.microsoft.com/office/drawing/2014/main" id="{E9030FBB-485E-CBA4-AE7B-2A6E47F9BCC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3898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243840</xdr:colOff>
      <xdr:row>77</xdr:row>
      <xdr:rowOff>99060</xdr:rowOff>
    </xdr:to>
    <xdr:sp macro="" textlink="">
      <xdr:nvSpPr>
        <xdr:cNvPr id="1100" name="ctl00_C_Ls_GridView2_ctl77_img1" descr="تفاصيل إضافية للشركة">
          <a:extLst>
            <a:ext uri="{FF2B5EF4-FFF2-40B4-BE49-F238E27FC236}">
              <a16:creationId xmlns:a16="http://schemas.microsoft.com/office/drawing/2014/main" id="{098EBD28-2542-A532-257D-D17CBC89299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081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77</xdr:row>
      <xdr:rowOff>0</xdr:rowOff>
    </xdr:from>
    <xdr:to>
      <xdr:col>8</xdr:col>
      <xdr:colOff>243840</xdr:colOff>
      <xdr:row>78</xdr:row>
      <xdr:rowOff>99060</xdr:rowOff>
    </xdr:to>
    <xdr:sp macro="" textlink="">
      <xdr:nvSpPr>
        <xdr:cNvPr id="1101" name="ctl00_C_Ls_GridView2_ctl78_img1" descr="تفاصيل إضافية للشركة">
          <a:extLst>
            <a:ext uri="{FF2B5EF4-FFF2-40B4-BE49-F238E27FC236}">
              <a16:creationId xmlns:a16="http://schemas.microsoft.com/office/drawing/2014/main" id="{39DFD77B-6BC3-8290-9D7D-6BD812538F2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264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78</xdr:row>
      <xdr:rowOff>0</xdr:rowOff>
    </xdr:from>
    <xdr:to>
      <xdr:col>8</xdr:col>
      <xdr:colOff>243840</xdr:colOff>
      <xdr:row>79</xdr:row>
      <xdr:rowOff>99060</xdr:rowOff>
    </xdr:to>
    <xdr:sp macro="" textlink="">
      <xdr:nvSpPr>
        <xdr:cNvPr id="1102" name="ctl00_C_Ls_GridView2_ctl79_img1" descr="تفاصيل إضافية للشركة">
          <a:extLst>
            <a:ext uri="{FF2B5EF4-FFF2-40B4-BE49-F238E27FC236}">
              <a16:creationId xmlns:a16="http://schemas.microsoft.com/office/drawing/2014/main" id="{789B07F3-6658-AAF0-BDE8-2D01F973F07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447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79</xdr:row>
      <xdr:rowOff>0</xdr:rowOff>
    </xdr:from>
    <xdr:to>
      <xdr:col>8</xdr:col>
      <xdr:colOff>243840</xdr:colOff>
      <xdr:row>80</xdr:row>
      <xdr:rowOff>99060</xdr:rowOff>
    </xdr:to>
    <xdr:sp macro="" textlink="">
      <xdr:nvSpPr>
        <xdr:cNvPr id="1103" name="ctl00_C_Ls_GridView2_ctl80_img1" descr="تفاصيل إضافية للشركة">
          <a:extLst>
            <a:ext uri="{FF2B5EF4-FFF2-40B4-BE49-F238E27FC236}">
              <a16:creationId xmlns:a16="http://schemas.microsoft.com/office/drawing/2014/main" id="{2EC1259B-266C-D41A-B78D-E8E0BBFC348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630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243840</xdr:colOff>
      <xdr:row>81</xdr:row>
      <xdr:rowOff>99060</xdr:rowOff>
    </xdr:to>
    <xdr:sp macro="" textlink="">
      <xdr:nvSpPr>
        <xdr:cNvPr id="1104" name="ctl00_C_Ls_GridView2_ctl81_img1" descr="تفاصيل إضافية للشركة">
          <a:extLst>
            <a:ext uri="{FF2B5EF4-FFF2-40B4-BE49-F238E27FC236}">
              <a16:creationId xmlns:a16="http://schemas.microsoft.com/office/drawing/2014/main" id="{9000971C-B280-5823-B1C7-690B7CFFA71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813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81</xdr:row>
      <xdr:rowOff>0</xdr:rowOff>
    </xdr:from>
    <xdr:to>
      <xdr:col>8</xdr:col>
      <xdr:colOff>243840</xdr:colOff>
      <xdr:row>82</xdr:row>
      <xdr:rowOff>99060</xdr:rowOff>
    </xdr:to>
    <xdr:sp macro="" textlink="">
      <xdr:nvSpPr>
        <xdr:cNvPr id="1105" name="ctl00_C_Ls_GridView2_ctl82_img1" descr="تفاصيل إضافية للشركة">
          <a:extLst>
            <a:ext uri="{FF2B5EF4-FFF2-40B4-BE49-F238E27FC236}">
              <a16:creationId xmlns:a16="http://schemas.microsoft.com/office/drawing/2014/main" id="{338F30FF-58AB-AE5F-F0BD-F081FC1BC95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4996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82</xdr:row>
      <xdr:rowOff>0</xdr:rowOff>
    </xdr:from>
    <xdr:to>
      <xdr:col>8</xdr:col>
      <xdr:colOff>243840</xdr:colOff>
      <xdr:row>83</xdr:row>
      <xdr:rowOff>99060</xdr:rowOff>
    </xdr:to>
    <xdr:sp macro="" textlink="">
      <xdr:nvSpPr>
        <xdr:cNvPr id="1106" name="ctl00_C_Ls_GridView2_ctl83_img1" descr="تفاصيل إضافية للشركة">
          <a:extLst>
            <a:ext uri="{FF2B5EF4-FFF2-40B4-BE49-F238E27FC236}">
              <a16:creationId xmlns:a16="http://schemas.microsoft.com/office/drawing/2014/main" id="{BD8965C4-EAAB-F1F0-9AF3-8D3DD43B2C3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5179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83</xdr:row>
      <xdr:rowOff>0</xdr:rowOff>
    </xdr:from>
    <xdr:to>
      <xdr:col>8</xdr:col>
      <xdr:colOff>243840</xdr:colOff>
      <xdr:row>84</xdr:row>
      <xdr:rowOff>99060</xdr:rowOff>
    </xdr:to>
    <xdr:sp macro="" textlink="">
      <xdr:nvSpPr>
        <xdr:cNvPr id="1107" name="ctl00_C_Ls_GridView2_ctl84_img1" descr="تفاصيل إضافية للشركة">
          <a:extLst>
            <a:ext uri="{FF2B5EF4-FFF2-40B4-BE49-F238E27FC236}">
              <a16:creationId xmlns:a16="http://schemas.microsoft.com/office/drawing/2014/main" id="{A5E0FC99-720D-455D-DD76-1DF2F1228E4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5361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243840</xdr:colOff>
      <xdr:row>85</xdr:row>
      <xdr:rowOff>99060</xdr:rowOff>
    </xdr:to>
    <xdr:sp macro="" textlink="">
      <xdr:nvSpPr>
        <xdr:cNvPr id="1108" name="ctl00_C_Ls_GridView2_ctl85_img1" descr="تفاصيل إضافية للشركة">
          <a:extLst>
            <a:ext uri="{FF2B5EF4-FFF2-40B4-BE49-F238E27FC236}">
              <a16:creationId xmlns:a16="http://schemas.microsoft.com/office/drawing/2014/main" id="{89099A0F-2DF0-A791-8704-7B9FB971E0D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5544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85</xdr:row>
      <xdr:rowOff>0</xdr:rowOff>
    </xdr:from>
    <xdr:to>
      <xdr:col>8</xdr:col>
      <xdr:colOff>243840</xdr:colOff>
      <xdr:row>86</xdr:row>
      <xdr:rowOff>99060</xdr:rowOff>
    </xdr:to>
    <xdr:sp macro="" textlink="">
      <xdr:nvSpPr>
        <xdr:cNvPr id="1109" name="ctl00_C_Ls_GridView2_ctl86_img1" descr="تفاصيل إضافية للشركة">
          <a:extLst>
            <a:ext uri="{FF2B5EF4-FFF2-40B4-BE49-F238E27FC236}">
              <a16:creationId xmlns:a16="http://schemas.microsoft.com/office/drawing/2014/main" id="{CABF942C-14F4-4505-C29E-4EF5217E5AB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5727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86</xdr:row>
      <xdr:rowOff>0</xdr:rowOff>
    </xdr:from>
    <xdr:to>
      <xdr:col>8</xdr:col>
      <xdr:colOff>243840</xdr:colOff>
      <xdr:row>87</xdr:row>
      <xdr:rowOff>99060</xdr:rowOff>
    </xdr:to>
    <xdr:sp macro="" textlink="">
      <xdr:nvSpPr>
        <xdr:cNvPr id="1110" name="ctl00_C_Ls_GridView2_ctl87_img1" descr="تفاصيل إضافية للشركة">
          <a:extLst>
            <a:ext uri="{FF2B5EF4-FFF2-40B4-BE49-F238E27FC236}">
              <a16:creationId xmlns:a16="http://schemas.microsoft.com/office/drawing/2014/main" id="{4B8916A1-33C5-D2A5-0B48-013CFE9CBB1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5910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87</xdr:row>
      <xdr:rowOff>0</xdr:rowOff>
    </xdr:from>
    <xdr:to>
      <xdr:col>8</xdr:col>
      <xdr:colOff>243840</xdr:colOff>
      <xdr:row>88</xdr:row>
      <xdr:rowOff>99060</xdr:rowOff>
    </xdr:to>
    <xdr:sp macro="" textlink="">
      <xdr:nvSpPr>
        <xdr:cNvPr id="1111" name="ctl00_C_Ls_GridView2_ctl88_img1" descr="تفاصيل إضافية للشركة">
          <a:extLst>
            <a:ext uri="{FF2B5EF4-FFF2-40B4-BE49-F238E27FC236}">
              <a16:creationId xmlns:a16="http://schemas.microsoft.com/office/drawing/2014/main" id="{9FD8C5B3-8A45-FE1D-63CC-9E810403CE8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6093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243840</xdr:colOff>
      <xdr:row>89</xdr:row>
      <xdr:rowOff>99060</xdr:rowOff>
    </xdr:to>
    <xdr:sp macro="" textlink="">
      <xdr:nvSpPr>
        <xdr:cNvPr id="1112" name="ctl00_C_Ls_GridView2_ctl89_img1" descr="تفاصيل إضافية للشركة">
          <a:extLst>
            <a:ext uri="{FF2B5EF4-FFF2-40B4-BE49-F238E27FC236}">
              <a16:creationId xmlns:a16="http://schemas.microsoft.com/office/drawing/2014/main" id="{745F109D-A6C9-6BC9-CFC7-C0E1F492555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6276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89</xdr:row>
      <xdr:rowOff>0</xdr:rowOff>
    </xdr:from>
    <xdr:to>
      <xdr:col>8</xdr:col>
      <xdr:colOff>243840</xdr:colOff>
      <xdr:row>90</xdr:row>
      <xdr:rowOff>99060</xdr:rowOff>
    </xdr:to>
    <xdr:sp macro="" textlink="">
      <xdr:nvSpPr>
        <xdr:cNvPr id="1113" name="ctl00_C_Ls_GridView2_ctl90_img1" descr="تفاصيل إضافية للشركة">
          <a:extLst>
            <a:ext uri="{FF2B5EF4-FFF2-40B4-BE49-F238E27FC236}">
              <a16:creationId xmlns:a16="http://schemas.microsoft.com/office/drawing/2014/main" id="{62CAB862-BEE9-C0DE-B22D-766CF5A1D8B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6459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90</xdr:row>
      <xdr:rowOff>0</xdr:rowOff>
    </xdr:from>
    <xdr:to>
      <xdr:col>8</xdr:col>
      <xdr:colOff>243840</xdr:colOff>
      <xdr:row>91</xdr:row>
      <xdr:rowOff>99060</xdr:rowOff>
    </xdr:to>
    <xdr:sp macro="" textlink="">
      <xdr:nvSpPr>
        <xdr:cNvPr id="1114" name="ctl00_C_Ls_GridView2_ctl91_img1" descr="تفاصيل إضافية للشركة">
          <a:extLst>
            <a:ext uri="{FF2B5EF4-FFF2-40B4-BE49-F238E27FC236}">
              <a16:creationId xmlns:a16="http://schemas.microsoft.com/office/drawing/2014/main" id="{BC869F9F-B541-B958-C7EE-192CDC55DDE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6642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91</xdr:row>
      <xdr:rowOff>0</xdr:rowOff>
    </xdr:from>
    <xdr:to>
      <xdr:col>8</xdr:col>
      <xdr:colOff>243840</xdr:colOff>
      <xdr:row>92</xdr:row>
      <xdr:rowOff>99060</xdr:rowOff>
    </xdr:to>
    <xdr:sp macro="" textlink="">
      <xdr:nvSpPr>
        <xdr:cNvPr id="1115" name="ctl00_C_Ls_GridView2_ctl92_img1" descr="تفاصيل إضافية للشركة">
          <a:extLst>
            <a:ext uri="{FF2B5EF4-FFF2-40B4-BE49-F238E27FC236}">
              <a16:creationId xmlns:a16="http://schemas.microsoft.com/office/drawing/2014/main" id="{7640B551-A92F-3814-129A-99A8D2485E0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6824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243840</xdr:colOff>
      <xdr:row>93</xdr:row>
      <xdr:rowOff>99060</xdr:rowOff>
    </xdr:to>
    <xdr:sp macro="" textlink="">
      <xdr:nvSpPr>
        <xdr:cNvPr id="1116" name="ctl00_C_Ls_GridView2_ctl93_img1" descr="تفاصيل إضافية للشركة">
          <a:extLst>
            <a:ext uri="{FF2B5EF4-FFF2-40B4-BE49-F238E27FC236}">
              <a16:creationId xmlns:a16="http://schemas.microsoft.com/office/drawing/2014/main" id="{B47FDD6B-991E-5280-02D4-A486A08760F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7007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93</xdr:row>
      <xdr:rowOff>0</xdr:rowOff>
    </xdr:from>
    <xdr:to>
      <xdr:col>8</xdr:col>
      <xdr:colOff>243840</xdr:colOff>
      <xdr:row>94</xdr:row>
      <xdr:rowOff>99060</xdr:rowOff>
    </xdr:to>
    <xdr:sp macro="" textlink="">
      <xdr:nvSpPr>
        <xdr:cNvPr id="1117" name="ctl00_C_Ls_GridView2_ctl94_img1" descr="تفاصيل إضافية للشركة">
          <a:extLst>
            <a:ext uri="{FF2B5EF4-FFF2-40B4-BE49-F238E27FC236}">
              <a16:creationId xmlns:a16="http://schemas.microsoft.com/office/drawing/2014/main" id="{EA907755-6A00-6FA2-0274-FCAAE7D0F39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7190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94</xdr:row>
      <xdr:rowOff>0</xdr:rowOff>
    </xdr:from>
    <xdr:to>
      <xdr:col>8</xdr:col>
      <xdr:colOff>243840</xdr:colOff>
      <xdr:row>95</xdr:row>
      <xdr:rowOff>99060</xdr:rowOff>
    </xdr:to>
    <xdr:sp macro="" textlink="">
      <xdr:nvSpPr>
        <xdr:cNvPr id="1118" name="ctl00_C_Ls_GridView2_ctl95_img1" descr="تفاصيل إضافية للشركة">
          <a:extLst>
            <a:ext uri="{FF2B5EF4-FFF2-40B4-BE49-F238E27FC236}">
              <a16:creationId xmlns:a16="http://schemas.microsoft.com/office/drawing/2014/main" id="{6ABB88AD-6EE6-A25C-AB7F-C10A2F0AEE0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7373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95</xdr:row>
      <xdr:rowOff>0</xdr:rowOff>
    </xdr:from>
    <xdr:to>
      <xdr:col>8</xdr:col>
      <xdr:colOff>243840</xdr:colOff>
      <xdr:row>96</xdr:row>
      <xdr:rowOff>99060</xdr:rowOff>
    </xdr:to>
    <xdr:sp macro="" textlink="">
      <xdr:nvSpPr>
        <xdr:cNvPr id="1119" name="ctl00_C_Ls_GridView2_ctl96_img1" descr="تفاصيل إضافية للشركة">
          <a:extLst>
            <a:ext uri="{FF2B5EF4-FFF2-40B4-BE49-F238E27FC236}">
              <a16:creationId xmlns:a16="http://schemas.microsoft.com/office/drawing/2014/main" id="{DF31A8B9-829A-A933-A121-1A942C2E1A8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7556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243840</xdr:colOff>
      <xdr:row>97</xdr:row>
      <xdr:rowOff>99060</xdr:rowOff>
    </xdr:to>
    <xdr:sp macro="" textlink="">
      <xdr:nvSpPr>
        <xdr:cNvPr id="1120" name="ctl00_C_Ls_GridView2_ctl97_img1" descr="تفاصيل إضافية للشركة">
          <a:extLst>
            <a:ext uri="{FF2B5EF4-FFF2-40B4-BE49-F238E27FC236}">
              <a16:creationId xmlns:a16="http://schemas.microsoft.com/office/drawing/2014/main" id="{AF3E6FA3-0EB2-D580-270F-8224E20BCEA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7739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97</xdr:row>
      <xdr:rowOff>0</xdr:rowOff>
    </xdr:from>
    <xdr:to>
      <xdr:col>8</xdr:col>
      <xdr:colOff>243840</xdr:colOff>
      <xdr:row>98</xdr:row>
      <xdr:rowOff>99060</xdr:rowOff>
    </xdr:to>
    <xdr:sp macro="" textlink="">
      <xdr:nvSpPr>
        <xdr:cNvPr id="1121" name="ctl00_C_Ls_GridView2_ctl98_img1" descr="تفاصيل إضافية للشركة">
          <a:extLst>
            <a:ext uri="{FF2B5EF4-FFF2-40B4-BE49-F238E27FC236}">
              <a16:creationId xmlns:a16="http://schemas.microsoft.com/office/drawing/2014/main" id="{6CBE7E5F-472C-0330-3B80-2DD274ECA82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7922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243840</xdr:colOff>
      <xdr:row>99</xdr:row>
      <xdr:rowOff>99060</xdr:rowOff>
    </xdr:to>
    <xdr:sp macro="" textlink="">
      <xdr:nvSpPr>
        <xdr:cNvPr id="1122" name="ctl00_C_Ls_GridView2_ctl99_img1" descr="تفاصيل إضافية للشركة">
          <a:extLst>
            <a:ext uri="{FF2B5EF4-FFF2-40B4-BE49-F238E27FC236}">
              <a16:creationId xmlns:a16="http://schemas.microsoft.com/office/drawing/2014/main" id="{D18C2A2A-BB15-1BBC-8913-7B97F7598B8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105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99</xdr:row>
      <xdr:rowOff>0</xdr:rowOff>
    </xdr:from>
    <xdr:to>
      <xdr:col>8</xdr:col>
      <xdr:colOff>243840</xdr:colOff>
      <xdr:row>100</xdr:row>
      <xdr:rowOff>99060</xdr:rowOff>
    </xdr:to>
    <xdr:sp macro="" textlink="">
      <xdr:nvSpPr>
        <xdr:cNvPr id="1123" name="ctl00_C_Ls_GridView2_ctl100_img1" descr="تفاصيل إضافية للشركة">
          <a:extLst>
            <a:ext uri="{FF2B5EF4-FFF2-40B4-BE49-F238E27FC236}">
              <a16:creationId xmlns:a16="http://schemas.microsoft.com/office/drawing/2014/main" id="{EA4FB0F2-A43C-A9C2-20FC-A10C0BD276E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288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243840</xdr:colOff>
      <xdr:row>101</xdr:row>
      <xdr:rowOff>99060</xdr:rowOff>
    </xdr:to>
    <xdr:sp macro="" textlink="">
      <xdr:nvSpPr>
        <xdr:cNvPr id="1124" name="ctl00_C_Ls_GridView2_ctl101_img1" descr="تفاصيل إضافية للشركة">
          <a:extLst>
            <a:ext uri="{FF2B5EF4-FFF2-40B4-BE49-F238E27FC236}">
              <a16:creationId xmlns:a16="http://schemas.microsoft.com/office/drawing/2014/main" id="{433E7146-FEDC-C0D2-FE81-7E6773541DD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470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101</xdr:row>
      <xdr:rowOff>0</xdr:rowOff>
    </xdr:from>
    <xdr:to>
      <xdr:col>8</xdr:col>
      <xdr:colOff>243840</xdr:colOff>
      <xdr:row>102</xdr:row>
      <xdr:rowOff>99060</xdr:rowOff>
    </xdr:to>
    <xdr:sp macro="" textlink="">
      <xdr:nvSpPr>
        <xdr:cNvPr id="1125" name="ctl00_C_Ls_GridView2_ctl102_img1" descr="تفاصيل إضافية للشركة">
          <a:extLst>
            <a:ext uri="{FF2B5EF4-FFF2-40B4-BE49-F238E27FC236}">
              <a16:creationId xmlns:a16="http://schemas.microsoft.com/office/drawing/2014/main" id="{FCBDB794-9A26-E7E3-3644-622BCD35E9D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653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102</xdr:row>
      <xdr:rowOff>0</xdr:rowOff>
    </xdr:from>
    <xdr:to>
      <xdr:col>8</xdr:col>
      <xdr:colOff>243840</xdr:colOff>
      <xdr:row>103</xdr:row>
      <xdr:rowOff>99060</xdr:rowOff>
    </xdr:to>
    <xdr:sp macro="" textlink="">
      <xdr:nvSpPr>
        <xdr:cNvPr id="1126" name="ctl00_C_Ls_GridView2_ctl103_img1" descr="تفاصيل إضافية للشركة">
          <a:extLst>
            <a:ext uri="{FF2B5EF4-FFF2-40B4-BE49-F238E27FC236}">
              <a16:creationId xmlns:a16="http://schemas.microsoft.com/office/drawing/2014/main" id="{75152D38-4F36-E2B4-98A1-0F607DB6BFE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8836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103</xdr:row>
      <xdr:rowOff>0</xdr:rowOff>
    </xdr:from>
    <xdr:to>
      <xdr:col>8</xdr:col>
      <xdr:colOff>243840</xdr:colOff>
      <xdr:row>104</xdr:row>
      <xdr:rowOff>99060</xdr:rowOff>
    </xdr:to>
    <xdr:sp macro="" textlink="">
      <xdr:nvSpPr>
        <xdr:cNvPr id="1127" name="ctl00_C_Ls_GridView2_ctl104_img1" descr="تفاصيل إضافية للشركة">
          <a:extLst>
            <a:ext uri="{FF2B5EF4-FFF2-40B4-BE49-F238E27FC236}">
              <a16:creationId xmlns:a16="http://schemas.microsoft.com/office/drawing/2014/main" id="{6D141418-DDD9-9A58-D463-90BF0C73029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9019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104</xdr:row>
      <xdr:rowOff>0</xdr:rowOff>
    </xdr:from>
    <xdr:to>
      <xdr:col>8</xdr:col>
      <xdr:colOff>243840</xdr:colOff>
      <xdr:row>105</xdr:row>
      <xdr:rowOff>99060</xdr:rowOff>
    </xdr:to>
    <xdr:sp macro="" textlink="">
      <xdr:nvSpPr>
        <xdr:cNvPr id="1128" name="ctl00_C_Ls_GridView2_ctl105_img1" descr="تفاصيل إضافية للشركة">
          <a:extLst>
            <a:ext uri="{FF2B5EF4-FFF2-40B4-BE49-F238E27FC236}">
              <a16:creationId xmlns:a16="http://schemas.microsoft.com/office/drawing/2014/main" id="{714DF8E2-9A12-375F-DE4C-021DD9AEDA8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9202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105</xdr:row>
      <xdr:rowOff>0</xdr:rowOff>
    </xdr:from>
    <xdr:to>
      <xdr:col>8</xdr:col>
      <xdr:colOff>243840</xdr:colOff>
      <xdr:row>106</xdr:row>
      <xdr:rowOff>99060</xdr:rowOff>
    </xdr:to>
    <xdr:sp macro="" textlink="">
      <xdr:nvSpPr>
        <xdr:cNvPr id="1129" name="ctl00_C_Ls_GridView2_ctl106_img1" descr="تفاصيل إضافية للشركة">
          <a:extLst>
            <a:ext uri="{FF2B5EF4-FFF2-40B4-BE49-F238E27FC236}">
              <a16:creationId xmlns:a16="http://schemas.microsoft.com/office/drawing/2014/main" id="{DE53F467-446C-4839-F764-B96AF6F90A0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9385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106</xdr:row>
      <xdr:rowOff>0</xdr:rowOff>
    </xdr:from>
    <xdr:to>
      <xdr:col>8</xdr:col>
      <xdr:colOff>243840</xdr:colOff>
      <xdr:row>107</xdr:row>
      <xdr:rowOff>99060</xdr:rowOff>
    </xdr:to>
    <xdr:sp macro="" textlink="">
      <xdr:nvSpPr>
        <xdr:cNvPr id="1130" name="ctl00_C_Ls_GridView2_ctl107_img1" descr="تفاصيل إضافية للشركة">
          <a:extLst>
            <a:ext uri="{FF2B5EF4-FFF2-40B4-BE49-F238E27FC236}">
              <a16:creationId xmlns:a16="http://schemas.microsoft.com/office/drawing/2014/main" id="{E746B185-6A54-9C46-A3A1-909B94F4C2E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9568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107</xdr:row>
      <xdr:rowOff>0</xdr:rowOff>
    </xdr:from>
    <xdr:to>
      <xdr:col>8</xdr:col>
      <xdr:colOff>243840</xdr:colOff>
      <xdr:row>108</xdr:row>
      <xdr:rowOff>99060</xdr:rowOff>
    </xdr:to>
    <xdr:sp macro="" textlink="">
      <xdr:nvSpPr>
        <xdr:cNvPr id="1131" name="ctl00_C_Ls_GridView2_ctl108_img1" descr="تفاصيل إضافية للشركة">
          <a:extLst>
            <a:ext uri="{FF2B5EF4-FFF2-40B4-BE49-F238E27FC236}">
              <a16:creationId xmlns:a16="http://schemas.microsoft.com/office/drawing/2014/main" id="{62528E85-D732-6EED-0CDE-A13978B02C0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9751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243840</xdr:colOff>
      <xdr:row>109</xdr:row>
      <xdr:rowOff>99060</xdr:rowOff>
    </xdr:to>
    <xdr:sp macro="" textlink="">
      <xdr:nvSpPr>
        <xdr:cNvPr id="1132" name="ctl00_C_Ls_GridView2_ctl109_img1" descr="تفاصيل إضافية للشركة">
          <a:extLst>
            <a:ext uri="{FF2B5EF4-FFF2-40B4-BE49-F238E27FC236}">
              <a16:creationId xmlns:a16="http://schemas.microsoft.com/office/drawing/2014/main" id="{65425D64-1F43-4497-098F-29F469826FE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19933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109</xdr:row>
      <xdr:rowOff>0</xdr:rowOff>
    </xdr:from>
    <xdr:to>
      <xdr:col>8</xdr:col>
      <xdr:colOff>243840</xdr:colOff>
      <xdr:row>110</xdr:row>
      <xdr:rowOff>99060</xdr:rowOff>
    </xdr:to>
    <xdr:sp macro="" textlink="">
      <xdr:nvSpPr>
        <xdr:cNvPr id="1133" name="ctl00_C_Ls_GridView2_ctl110_img1" descr="تفاصيل إضافية للشركة">
          <a:extLst>
            <a:ext uri="{FF2B5EF4-FFF2-40B4-BE49-F238E27FC236}">
              <a16:creationId xmlns:a16="http://schemas.microsoft.com/office/drawing/2014/main" id="{C0DFA089-E45A-F930-56F0-1D0C1B2A38D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0116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110</xdr:row>
      <xdr:rowOff>0</xdr:rowOff>
    </xdr:from>
    <xdr:to>
      <xdr:col>8</xdr:col>
      <xdr:colOff>243840</xdr:colOff>
      <xdr:row>111</xdr:row>
      <xdr:rowOff>99060</xdr:rowOff>
    </xdr:to>
    <xdr:sp macro="" textlink="">
      <xdr:nvSpPr>
        <xdr:cNvPr id="1134" name="ctl00_C_Ls_GridView2_ctl111_img1" descr="تفاصيل إضافية للشركة">
          <a:extLst>
            <a:ext uri="{FF2B5EF4-FFF2-40B4-BE49-F238E27FC236}">
              <a16:creationId xmlns:a16="http://schemas.microsoft.com/office/drawing/2014/main" id="{CADDA2B5-5F07-A398-678A-16BB584BC49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0299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111</xdr:row>
      <xdr:rowOff>0</xdr:rowOff>
    </xdr:from>
    <xdr:to>
      <xdr:col>8</xdr:col>
      <xdr:colOff>243840</xdr:colOff>
      <xdr:row>112</xdr:row>
      <xdr:rowOff>99060</xdr:rowOff>
    </xdr:to>
    <xdr:sp macro="" textlink="">
      <xdr:nvSpPr>
        <xdr:cNvPr id="1135" name="ctl00_C_Ls_GridView2_ctl112_img1" descr="تفاصيل إضافية للشركة">
          <a:extLst>
            <a:ext uri="{FF2B5EF4-FFF2-40B4-BE49-F238E27FC236}">
              <a16:creationId xmlns:a16="http://schemas.microsoft.com/office/drawing/2014/main" id="{A790C99E-64A1-88BD-1C90-AF6CBB046A3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0482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112</xdr:row>
      <xdr:rowOff>0</xdr:rowOff>
    </xdr:from>
    <xdr:to>
      <xdr:col>8</xdr:col>
      <xdr:colOff>243840</xdr:colOff>
      <xdr:row>113</xdr:row>
      <xdr:rowOff>99060</xdr:rowOff>
    </xdr:to>
    <xdr:sp macro="" textlink="">
      <xdr:nvSpPr>
        <xdr:cNvPr id="1136" name="ctl00_C_Ls_GridView2_ctl113_img1" descr="تفاصيل إضافية للشركة">
          <a:extLst>
            <a:ext uri="{FF2B5EF4-FFF2-40B4-BE49-F238E27FC236}">
              <a16:creationId xmlns:a16="http://schemas.microsoft.com/office/drawing/2014/main" id="{8679867B-FF7A-A43A-7640-54C61543757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0665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113</xdr:row>
      <xdr:rowOff>0</xdr:rowOff>
    </xdr:from>
    <xdr:to>
      <xdr:col>8</xdr:col>
      <xdr:colOff>243840</xdr:colOff>
      <xdr:row>114</xdr:row>
      <xdr:rowOff>99060</xdr:rowOff>
    </xdr:to>
    <xdr:sp macro="" textlink="">
      <xdr:nvSpPr>
        <xdr:cNvPr id="1137" name="ctl00_C_Ls_GridView2_ctl114_img1" descr="تفاصيل إضافية للشركة">
          <a:extLst>
            <a:ext uri="{FF2B5EF4-FFF2-40B4-BE49-F238E27FC236}">
              <a16:creationId xmlns:a16="http://schemas.microsoft.com/office/drawing/2014/main" id="{4636DF90-FE7B-52AC-AB82-68333BBE179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0848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114</xdr:row>
      <xdr:rowOff>0</xdr:rowOff>
    </xdr:from>
    <xdr:to>
      <xdr:col>8</xdr:col>
      <xdr:colOff>243840</xdr:colOff>
      <xdr:row>115</xdr:row>
      <xdr:rowOff>99060</xdr:rowOff>
    </xdr:to>
    <xdr:sp macro="" textlink="">
      <xdr:nvSpPr>
        <xdr:cNvPr id="1138" name="ctl00_C_Ls_GridView2_ctl115_img1" descr="تفاصيل إضافية للشركة">
          <a:extLst>
            <a:ext uri="{FF2B5EF4-FFF2-40B4-BE49-F238E27FC236}">
              <a16:creationId xmlns:a16="http://schemas.microsoft.com/office/drawing/2014/main" id="{61E02C9E-F2AD-FAD5-923E-3678C8C6B24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031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115</xdr:row>
      <xdr:rowOff>0</xdr:rowOff>
    </xdr:from>
    <xdr:to>
      <xdr:col>8</xdr:col>
      <xdr:colOff>243840</xdr:colOff>
      <xdr:row>116</xdr:row>
      <xdr:rowOff>99060</xdr:rowOff>
    </xdr:to>
    <xdr:sp macro="" textlink="">
      <xdr:nvSpPr>
        <xdr:cNvPr id="1139" name="ctl00_C_Ls_GridView2_ctl116_img1" descr="تفاصيل إضافية للشركة">
          <a:extLst>
            <a:ext uri="{FF2B5EF4-FFF2-40B4-BE49-F238E27FC236}">
              <a16:creationId xmlns:a16="http://schemas.microsoft.com/office/drawing/2014/main" id="{C88EEFE3-E663-CCFE-C1DF-DD8A0A67F1D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214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116</xdr:row>
      <xdr:rowOff>0</xdr:rowOff>
    </xdr:from>
    <xdr:to>
      <xdr:col>8</xdr:col>
      <xdr:colOff>243840</xdr:colOff>
      <xdr:row>117</xdr:row>
      <xdr:rowOff>99060</xdr:rowOff>
    </xdr:to>
    <xdr:sp macro="" textlink="">
      <xdr:nvSpPr>
        <xdr:cNvPr id="1140" name="ctl00_C_Ls_GridView2_ctl117_img1" descr="تفاصيل إضافية للشركة">
          <a:extLst>
            <a:ext uri="{FF2B5EF4-FFF2-40B4-BE49-F238E27FC236}">
              <a16:creationId xmlns:a16="http://schemas.microsoft.com/office/drawing/2014/main" id="{3453546F-6E15-E0F3-877B-CBE61466CD4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396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117</xdr:row>
      <xdr:rowOff>0</xdr:rowOff>
    </xdr:from>
    <xdr:to>
      <xdr:col>8</xdr:col>
      <xdr:colOff>243840</xdr:colOff>
      <xdr:row>118</xdr:row>
      <xdr:rowOff>99060</xdr:rowOff>
    </xdr:to>
    <xdr:sp macro="" textlink="">
      <xdr:nvSpPr>
        <xdr:cNvPr id="1141" name="ctl00_C_Ls_GridView2_ctl118_img1" descr="تفاصيل إضافية للشركة">
          <a:extLst>
            <a:ext uri="{FF2B5EF4-FFF2-40B4-BE49-F238E27FC236}">
              <a16:creationId xmlns:a16="http://schemas.microsoft.com/office/drawing/2014/main" id="{452E2D93-F997-6AFA-7B90-E69E45E64DA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579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118</xdr:row>
      <xdr:rowOff>0</xdr:rowOff>
    </xdr:from>
    <xdr:to>
      <xdr:col>8</xdr:col>
      <xdr:colOff>243840</xdr:colOff>
      <xdr:row>119</xdr:row>
      <xdr:rowOff>99060</xdr:rowOff>
    </xdr:to>
    <xdr:sp macro="" textlink="">
      <xdr:nvSpPr>
        <xdr:cNvPr id="1142" name="ctl00_C_Ls_GridView2_ctl119_img1" descr="تفاصيل إضافية للشركة">
          <a:extLst>
            <a:ext uri="{FF2B5EF4-FFF2-40B4-BE49-F238E27FC236}">
              <a16:creationId xmlns:a16="http://schemas.microsoft.com/office/drawing/2014/main" id="{122DA750-CA97-20A3-5F8C-F3B5579B40D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762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119</xdr:row>
      <xdr:rowOff>0</xdr:rowOff>
    </xdr:from>
    <xdr:to>
      <xdr:col>8</xdr:col>
      <xdr:colOff>243840</xdr:colOff>
      <xdr:row>120</xdr:row>
      <xdr:rowOff>99060</xdr:rowOff>
    </xdr:to>
    <xdr:sp macro="" textlink="">
      <xdr:nvSpPr>
        <xdr:cNvPr id="1143" name="ctl00_C_Ls_GridView2_ctl120_img1" descr="تفاصيل إضافية للشركة">
          <a:extLst>
            <a:ext uri="{FF2B5EF4-FFF2-40B4-BE49-F238E27FC236}">
              <a16:creationId xmlns:a16="http://schemas.microsoft.com/office/drawing/2014/main" id="{A907D2DE-921F-8033-4B05-1502E86214B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1945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243840</xdr:colOff>
      <xdr:row>121</xdr:row>
      <xdr:rowOff>99060</xdr:rowOff>
    </xdr:to>
    <xdr:sp macro="" textlink="">
      <xdr:nvSpPr>
        <xdr:cNvPr id="1144" name="ctl00_C_Ls_GridView2_ctl121_img1" descr="تفاصيل إضافية للشركة">
          <a:extLst>
            <a:ext uri="{FF2B5EF4-FFF2-40B4-BE49-F238E27FC236}">
              <a16:creationId xmlns:a16="http://schemas.microsoft.com/office/drawing/2014/main" id="{C7799069-02DA-2364-46F2-B51A98D403C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2128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121</xdr:row>
      <xdr:rowOff>0</xdr:rowOff>
    </xdr:from>
    <xdr:to>
      <xdr:col>8</xdr:col>
      <xdr:colOff>243840</xdr:colOff>
      <xdr:row>122</xdr:row>
      <xdr:rowOff>99060</xdr:rowOff>
    </xdr:to>
    <xdr:sp macro="" textlink="">
      <xdr:nvSpPr>
        <xdr:cNvPr id="1145" name="ctl00_C_Ls_GridView2_ctl122_img1" descr="تفاصيل إضافية للشركة">
          <a:extLst>
            <a:ext uri="{FF2B5EF4-FFF2-40B4-BE49-F238E27FC236}">
              <a16:creationId xmlns:a16="http://schemas.microsoft.com/office/drawing/2014/main" id="{39018EBE-C21D-8FED-BA76-A0BEAE75769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2311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243840</xdr:colOff>
      <xdr:row>123</xdr:row>
      <xdr:rowOff>99060</xdr:rowOff>
    </xdr:to>
    <xdr:sp macro="" textlink="">
      <xdr:nvSpPr>
        <xdr:cNvPr id="1146" name="ctl00_C_Ls_GridView2_ctl123_img1" descr="تفاصيل إضافية للشركة">
          <a:extLst>
            <a:ext uri="{FF2B5EF4-FFF2-40B4-BE49-F238E27FC236}">
              <a16:creationId xmlns:a16="http://schemas.microsoft.com/office/drawing/2014/main" id="{D321785E-7965-09EE-D1DB-C0890D89C8F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2494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123</xdr:row>
      <xdr:rowOff>0</xdr:rowOff>
    </xdr:from>
    <xdr:to>
      <xdr:col>8</xdr:col>
      <xdr:colOff>243840</xdr:colOff>
      <xdr:row>124</xdr:row>
      <xdr:rowOff>99060</xdr:rowOff>
    </xdr:to>
    <xdr:sp macro="" textlink="">
      <xdr:nvSpPr>
        <xdr:cNvPr id="1147" name="ctl00_C_Ls_GridView2_ctl124_img1" descr="تفاصيل إضافية للشركة">
          <a:extLst>
            <a:ext uri="{FF2B5EF4-FFF2-40B4-BE49-F238E27FC236}">
              <a16:creationId xmlns:a16="http://schemas.microsoft.com/office/drawing/2014/main" id="{3CC1E333-A90E-D106-B6E6-74F4A2A8887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2677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243840</xdr:colOff>
      <xdr:row>125</xdr:row>
      <xdr:rowOff>99060</xdr:rowOff>
    </xdr:to>
    <xdr:sp macro="" textlink="">
      <xdr:nvSpPr>
        <xdr:cNvPr id="1148" name="ctl00_C_Ls_GridView2_ctl125_img1" descr="تفاصيل إضافية للشركة">
          <a:extLst>
            <a:ext uri="{FF2B5EF4-FFF2-40B4-BE49-F238E27FC236}">
              <a16:creationId xmlns:a16="http://schemas.microsoft.com/office/drawing/2014/main" id="{4256418C-AAD7-EF85-65CE-231539CE119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2860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125</xdr:row>
      <xdr:rowOff>0</xdr:rowOff>
    </xdr:from>
    <xdr:to>
      <xdr:col>8</xdr:col>
      <xdr:colOff>243840</xdr:colOff>
      <xdr:row>126</xdr:row>
      <xdr:rowOff>99060</xdr:rowOff>
    </xdr:to>
    <xdr:sp macro="" textlink="">
      <xdr:nvSpPr>
        <xdr:cNvPr id="1149" name="ctl00_C_Ls_GridView2_ctl126_img1" descr="تفاصيل إضافية للشركة">
          <a:extLst>
            <a:ext uri="{FF2B5EF4-FFF2-40B4-BE49-F238E27FC236}">
              <a16:creationId xmlns:a16="http://schemas.microsoft.com/office/drawing/2014/main" id="{54C25867-C025-1800-D2A7-E50EC6D9795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042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126</xdr:row>
      <xdr:rowOff>0</xdr:rowOff>
    </xdr:from>
    <xdr:to>
      <xdr:col>8</xdr:col>
      <xdr:colOff>243840</xdr:colOff>
      <xdr:row>127</xdr:row>
      <xdr:rowOff>99060</xdr:rowOff>
    </xdr:to>
    <xdr:sp macro="" textlink="">
      <xdr:nvSpPr>
        <xdr:cNvPr id="1150" name="ctl00_C_Ls_GridView2_ctl127_img1" descr="تفاصيل إضافية للشركة">
          <a:extLst>
            <a:ext uri="{FF2B5EF4-FFF2-40B4-BE49-F238E27FC236}">
              <a16:creationId xmlns:a16="http://schemas.microsoft.com/office/drawing/2014/main" id="{E2BF57B3-2AF1-EED0-02D4-B1379D54EFA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225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127</xdr:row>
      <xdr:rowOff>0</xdr:rowOff>
    </xdr:from>
    <xdr:to>
      <xdr:col>8</xdr:col>
      <xdr:colOff>243840</xdr:colOff>
      <xdr:row>128</xdr:row>
      <xdr:rowOff>99060</xdr:rowOff>
    </xdr:to>
    <xdr:sp macro="" textlink="">
      <xdr:nvSpPr>
        <xdr:cNvPr id="1151" name="ctl00_C_Ls_GridView2_ctl128_img1" descr="تفاصيل إضافية للشركة">
          <a:extLst>
            <a:ext uri="{FF2B5EF4-FFF2-40B4-BE49-F238E27FC236}">
              <a16:creationId xmlns:a16="http://schemas.microsoft.com/office/drawing/2014/main" id="{E3B78E4D-AB6D-BC35-9C9A-2A17541DC00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408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243840</xdr:colOff>
      <xdr:row>129</xdr:row>
      <xdr:rowOff>99060</xdr:rowOff>
    </xdr:to>
    <xdr:sp macro="" textlink="">
      <xdr:nvSpPr>
        <xdr:cNvPr id="1152" name="ctl00_C_Ls_GridView2_ctl129_img1" descr="تفاصيل إضافية للشركة">
          <a:extLst>
            <a:ext uri="{FF2B5EF4-FFF2-40B4-BE49-F238E27FC236}">
              <a16:creationId xmlns:a16="http://schemas.microsoft.com/office/drawing/2014/main" id="{4CAB7C75-4C71-56B8-2348-E159B3F9BDD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591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129</xdr:row>
      <xdr:rowOff>0</xdr:rowOff>
    </xdr:from>
    <xdr:to>
      <xdr:col>8</xdr:col>
      <xdr:colOff>243840</xdr:colOff>
      <xdr:row>130</xdr:row>
      <xdr:rowOff>99060</xdr:rowOff>
    </xdr:to>
    <xdr:sp macro="" textlink="">
      <xdr:nvSpPr>
        <xdr:cNvPr id="1153" name="ctl00_C_Ls_GridView2_ctl130_img1" descr="تفاصيل إضافية للشركة">
          <a:extLst>
            <a:ext uri="{FF2B5EF4-FFF2-40B4-BE49-F238E27FC236}">
              <a16:creationId xmlns:a16="http://schemas.microsoft.com/office/drawing/2014/main" id="{94AACA07-BF6E-BE76-7038-B65F66FFFEA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774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130</xdr:row>
      <xdr:rowOff>0</xdr:rowOff>
    </xdr:from>
    <xdr:to>
      <xdr:col>8</xdr:col>
      <xdr:colOff>243840</xdr:colOff>
      <xdr:row>131</xdr:row>
      <xdr:rowOff>99060</xdr:rowOff>
    </xdr:to>
    <xdr:sp macro="" textlink="">
      <xdr:nvSpPr>
        <xdr:cNvPr id="1154" name="ctl00_C_Ls_GridView2_ctl131_img1" descr="تفاصيل إضافية للشركة">
          <a:extLst>
            <a:ext uri="{FF2B5EF4-FFF2-40B4-BE49-F238E27FC236}">
              <a16:creationId xmlns:a16="http://schemas.microsoft.com/office/drawing/2014/main" id="{736411D1-ADCB-7FB0-64EC-CE79185CA4B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3957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131</xdr:row>
      <xdr:rowOff>0</xdr:rowOff>
    </xdr:from>
    <xdr:to>
      <xdr:col>8</xdr:col>
      <xdr:colOff>243840</xdr:colOff>
      <xdr:row>132</xdr:row>
      <xdr:rowOff>0</xdr:rowOff>
    </xdr:to>
    <xdr:sp macro="" textlink="">
      <xdr:nvSpPr>
        <xdr:cNvPr id="1155" name="ctl00_C_Ls_GridView2_ctl132_img1" descr="تفاصيل إضافية للشركة">
          <a:extLst>
            <a:ext uri="{FF2B5EF4-FFF2-40B4-BE49-F238E27FC236}">
              <a16:creationId xmlns:a16="http://schemas.microsoft.com/office/drawing/2014/main" id="{920A5835-C84B-EBE5-10E5-7C1EFF457D1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414016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132</xdr:row>
      <xdr:rowOff>0</xdr:rowOff>
    </xdr:from>
    <xdr:to>
      <xdr:col>8</xdr:col>
      <xdr:colOff>243840</xdr:colOff>
      <xdr:row>133</xdr:row>
      <xdr:rowOff>99060</xdr:rowOff>
    </xdr:to>
    <xdr:sp macro="" textlink="">
      <xdr:nvSpPr>
        <xdr:cNvPr id="1156" name="ctl00_C_Ls_GridView2_ctl133_img1" descr="تفاصيل إضافية للشركة">
          <a:extLst>
            <a:ext uri="{FF2B5EF4-FFF2-40B4-BE49-F238E27FC236}">
              <a16:creationId xmlns:a16="http://schemas.microsoft.com/office/drawing/2014/main" id="{332B5529-9CA1-F048-885C-DD478C3055E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4323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133</xdr:row>
      <xdr:rowOff>0</xdr:rowOff>
    </xdr:from>
    <xdr:to>
      <xdr:col>8</xdr:col>
      <xdr:colOff>243840</xdr:colOff>
      <xdr:row>134</xdr:row>
      <xdr:rowOff>99060</xdr:rowOff>
    </xdr:to>
    <xdr:sp macro="" textlink="">
      <xdr:nvSpPr>
        <xdr:cNvPr id="1157" name="ctl00_C_Ls_GridView2_ctl134_img1" descr="تفاصيل إضافية للشركة">
          <a:extLst>
            <a:ext uri="{FF2B5EF4-FFF2-40B4-BE49-F238E27FC236}">
              <a16:creationId xmlns:a16="http://schemas.microsoft.com/office/drawing/2014/main" id="{C36C135A-674D-EC5A-236A-0E8CB644524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4505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134</xdr:row>
      <xdr:rowOff>0</xdr:rowOff>
    </xdr:from>
    <xdr:to>
      <xdr:col>8</xdr:col>
      <xdr:colOff>243840</xdr:colOff>
      <xdr:row>135</xdr:row>
      <xdr:rowOff>99060</xdr:rowOff>
    </xdr:to>
    <xdr:sp macro="" textlink="">
      <xdr:nvSpPr>
        <xdr:cNvPr id="1158" name="ctl00_C_Ls_GridView2_ctl135_img1" descr="تفاصيل إضافية للشركة">
          <a:extLst>
            <a:ext uri="{FF2B5EF4-FFF2-40B4-BE49-F238E27FC236}">
              <a16:creationId xmlns:a16="http://schemas.microsoft.com/office/drawing/2014/main" id="{07E7D454-0EAC-3A42-E2B3-16B72CC4831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4688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135</xdr:row>
      <xdr:rowOff>0</xdr:rowOff>
    </xdr:from>
    <xdr:to>
      <xdr:col>8</xdr:col>
      <xdr:colOff>243840</xdr:colOff>
      <xdr:row>136</xdr:row>
      <xdr:rowOff>99060</xdr:rowOff>
    </xdr:to>
    <xdr:sp macro="" textlink="">
      <xdr:nvSpPr>
        <xdr:cNvPr id="1159" name="ctl00_C_Ls_GridView2_ctl136_img1" descr="تفاصيل إضافية للشركة">
          <a:extLst>
            <a:ext uri="{FF2B5EF4-FFF2-40B4-BE49-F238E27FC236}">
              <a16:creationId xmlns:a16="http://schemas.microsoft.com/office/drawing/2014/main" id="{E20CC984-4540-EF1B-821C-746CC308D09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4871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136</xdr:row>
      <xdr:rowOff>0</xdr:rowOff>
    </xdr:from>
    <xdr:to>
      <xdr:col>8</xdr:col>
      <xdr:colOff>243840</xdr:colOff>
      <xdr:row>137</xdr:row>
      <xdr:rowOff>99060</xdr:rowOff>
    </xdr:to>
    <xdr:sp macro="" textlink="">
      <xdr:nvSpPr>
        <xdr:cNvPr id="1160" name="ctl00_C_Ls_GridView2_ctl137_img1" descr="تفاصيل إضافية للشركة">
          <a:extLst>
            <a:ext uri="{FF2B5EF4-FFF2-40B4-BE49-F238E27FC236}">
              <a16:creationId xmlns:a16="http://schemas.microsoft.com/office/drawing/2014/main" id="{BA303E9A-C41A-49C0-6C47-749CA0D82A4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054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137</xdr:row>
      <xdr:rowOff>0</xdr:rowOff>
    </xdr:from>
    <xdr:to>
      <xdr:col>8</xdr:col>
      <xdr:colOff>243840</xdr:colOff>
      <xdr:row>138</xdr:row>
      <xdr:rowOff>99060</xdr:rowOff>
    </xdr:to>
    <xdr:sp macro="" textlink="">
      <xdr:nvSpPr>
        <xdr:cNvPr id="1161" name="ctl00_C_Ls_GridView2_ctl138_img1" descr="تفاصيل إضافية للشركة">
          <a:extLst>
            <a:ext uri="{FF2B5EF4-FFF2-40B4-BE49-F238E27FC236}">
              <a16:creationId xmlns:a16="http://schemas.microsoft.com/office/drawing/2014/main" id="{34AEB524-0657-D6DB-EAA0-00F49ED4F11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237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138</xdr:row>
      <xdr:rowOff>0</xdr:rowOff>
    </xdr:from>
    <xdr:to>
      <xdr:col>8</xdr:col>
      <xdr:colOff>243840</xdr:colOff>
      <xdr:row>139</xdr:row>
      <xdr:rowOff>99060</xdr:rowOff>
    </xdr:to>
    <xdr:sp macro="" textlink="">
      <xdr:nvSpPr>
        <xdr:cNvPr id="1162" name="ctl00_C_Ls_GridView2_ctl139_img1" descr="تفاصيل إضافية للشركة">
          <a:extLst>
            <a:ext uri="{FF2B5EF4-FFF2-40B4-BE49-F238E27FC236}">
              <a16:creationId xmlns:a16="http://schemas.microsoft.com/office/drawing/2014/main" id="{9D6452A2-D0AF-54D5-F335-EC99BF8BAB8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420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243840</xdr:colOff>
      <xdr:row>140</xdr:row>
      <xdr:rowOff>99060</xdr:rowOff>
    </xdr:to>
    <xdr:sp macro="" textlink="">
      <xdr:nvSpPr>
        <xdr:cNvPr id="1163" name="ctl00_C_Ls_GridView2_ctl140_img1" descr="تفاصيل إضافية للشركة">
          <a:extLst>
            <a:ext uri="{FF2B5EF4-FFF2-40B4-BE49-F238E27FC236}">
              <a16:creationId xmlns:a16="http://schemas.microsoft.com/office/drawing/2014/main" id="{56232280-554B-18FE-396B-D9129489B12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603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140</xdr:row>
      <xdr:rowOff>0</xdr:rowOff>
    </xdr:from>
    <xdr:to>
      <xdr:col>8</xdr:col>
      <xdr:colOff>243840</xdr:colOff>
      <xdr:row>141</xdr:row>
      <xdr:rowOff>99060</xdr:rowOff>
    </xdr:to>
    <xdr:sp macro="" textlink="">
      <xdr:nvSpPr>
        <xdr:cNvPr id="1164" name="ctl00_C_Ls_GridView2_ctl141_img1" descr="تفاصيل إضافية للشركة">
          <a:extLst>
            <a:ext uri="{FF2B5EF4-FFF2-40B4-BE49-F238E27FC236}">
              <a16:creationId xmlns:a16="http://schemas.microsoft.com/office/drawing/2014/main" id="{51094FEB-0194-ACAF-DED5-D63F4E919E0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786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141</xdr:row>
      <xdr:rowOff>0</xdr:rowOff>
    </xdr:from>
    <xdr:to>
      <xdr:col>8</xdr:col>
      <xdr:colOff>243840</xdr:colOff>
      <xdr:row>142</xdr:row>
      <xdr:rowOff>99060</xdr:rowOff>
    </xdr:to>
    <xdr:sp macro="" textlink="">
      <xdr:nvSpPr>
        <xdr:cNvPr id="1165" name="ctl00_C_Ls_GridView2_ctl142_img1" descr="تفاصيل إضافية للشركة">
          <a:extLst>
            <a:ext uri="{FF2B5EF4-FFF2-40B4-BE49-F238E27FC236}">
              <a16:creationId xmlns:a16="http://schemas.microsoft.com/office/drawing/2014/main" id="{D1891331-EE90-104F-B12A-2F3CFF0B813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5968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142</xdr:row>
      <xdr:rowOff>0</xdr:rowOff>
    </xdr:from>
    <xdr:to>
      <xdr:col>8</xdr:col>
      <xdr:colOff>243840</xdr:colOff>
      <xdr:row>143</xdr:row>
      <xdr:rowOff>99060</xdr:rowOff>
    </xdr:to>
    <xdr:sp macro="" textlink="">
      <xdr:nvSpPr>
        <xdr:cNvPr id="1166" name="ctl00_C_Ls_GridView2_ctl143_img1" descr="تفاصيل إضافية للشركة">
          <a:extLst>
            <a:ext uri="{FF2B5EF4-FFF2-40B4-BE49-F238E27FC236}">
              <a16:creationId xmlns:a16="http://schemas.microsoft.com/office/drawing/2014/main" id="{6458D755-E5AF-4C1C-3F84-E080871C78C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6151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243840</xdr:colOff>
      <xdr:row>144</xdr:row>
      <xdr:rowOff>99060</xdr:rowOff>
    </xdr:to>
    <xdr:sp macro="" textlink="">
      <xdr:nvSpPr>
        <xdr:cNvPr id="1167" name="ctl00_C_Ls_GridView2_ctl144_img1" descr="تفاصيل إضافية للشركة">
          <a:extLst>
            <a:ext uri="{FF2B5EF4-FFF2-40B4-BE49-F238E27FC236}">
              <a16:creationId xmlns:a16="http://schemas.microsoft.com/office/drawing/2014/main" id="{DD374202-24F0-61DA-C74E-16483E30933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6334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144</xdr:row>
      <xdr:rowOff>0</xdr:rowOff>
    </xdr:from>
    <xdr:to>
      <xdr:col>8</xdr:col>
      <xdr:colOff>243840</xdr:colOff>
      <xdr:row>145</xdr:row>
      <xdr:rowOff>99060</xdr:rowOff>
    </xdr:to>
    <xdr:sp macro="" textlink="">
      <xdr:nvSpPr>
        <xdr:cNvPr id="1168" name="ctl00_C_Ls_GridView2_ctl145_img1" descr="تفاصيل إضافية للشركة">
          <a:extLst>
            <a:ext uri="{FF2B5EF4-FFF2-40B4-BE49-F238E27FC236}">
              <a16:creationId xmlns:a16="http://schemas.microsoft.com/office/drawing/2014/main" id="{66145205-3E5B-760D-A2D4-1D9B2B486B9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6517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145</xdr:row>
      <xdr:rowOff>0</xdr:rowOff>
    </xdr:from>
    <xdr:to>
      <xdr:col>8</xdr:col>
      <xdr:colOff>243840</xdr:colOff>
      <xdr:row>146</xdr:row>
      <xdr:rowOff>99060</xdr:rowOff>
    </xdr:to>
    <xdr:sp macro="" textlink="">
      <xdr:nvSpPr>
        <xdr:cNvPr id="1169" name="ctl00_C_Ls_GridView2_ctl146_img1" descr="تفاصيل إضافية للشركة">
          <a:extLst>
            <a:ext uri="{FF2B5EF4-FFF2-40B4-BE49-F238E27FC236}">
              <a16:creationId xmlns:a16="http://schemas.microsoft.com/office/drawing/2014/main" id="{DD8D7A32-011C-B0C1-94E9-F1DE870F438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6700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243840</xdr:colOff>
      <xdr:row>147</xdr:row>
      <xdr:rowOff>99060</xdr:rowOff>
    </xdr:to>
    <xdr:sp macro="" textlink="">
      <xdr:nvSpPr>
        <xdr:cNvPr id="1170" name="ctl00_C_Ls_GridView2_ctl147_img1" descr="تفاصيل إضافية للشركة">
          <a:extLst>
            <a:ext uri="{FF2B5EF4-FFF2-40B4-BE49-F238E27FC236}">
              <a16:creationId xmlns:a16="http://schemas.microsoft.com/office/drawing/2014/main" id="{867ADE69-0FFA-5A34-434A-71919BF52F9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6883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147</xdr:row>
      <xdr:rowOff>0</xdr:rowOff>
    </xdr:from>
    <xdr:to>
      <xdr:col>8</xdr:col>
      <xdr:colOff>243840</xdr:colOff>
      <xdr:row>148</xdr:row>
      <xdr:rowOff>99060</xdr:rowOff>
    </xdr:to>
    <xdr:sp macro="" textlink="">
      <xdr:nvSpPr>
        <xdr:cNvPr id="1171" name="ctl00_C_Ls_GridView2_ctl148_img1" descr="تفاصيل إضافية للشركة">
          <a:extLst>
            <a:ext uri="{FF2B5EF4-FFF2-40B4-BE49-F238E27FC236}">
              <a16:creationId xmlns:a16="http://schemas.microsoft.com/office/drawing/2014/main" id="{4D05BE66-025C-79F8-6EDC-A75F12239C3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066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243840</xdr:colOff>
      <xdr:row>149</xdr:row>
      <xdr:rowOff>99060</xdr:rowOff>
    </xdr:to>
    <xdr:sp macro="" textlink="">
      <xdr:nvSpPr>
        <xdr:cNvPr id="1172" name="ctl00_C_Ls_GridView2_ctl149_img1" descr="تفاصيل إضافية للشركة">
          <a:extLst>
            <a:ext uri="{FF2B5EF4-FFF2-40B4-BE49-F238E27FC236}">
              <a16:creationId xmlns:a16="http://schemas.microsoft.com/office/drawing/2014/main" id="{E8D33AC0-B8A0-2F53-3B7B-4ABEFABB55B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249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149</xdr:row>
      <xdr:rowOff>0</xdr:rowOff>
    </xdr:from>
    <xdr:to>
      <xdr:col>8</xdr:col>
      <xdr:colOff>243840</xdr:colOff>
      <xdr:row>150</xdr:row>
      <xdr:rowOff>99060</xdr:rowOff>
    </xdr:to>
    <xdr:sp macro="" textlink="">
      <xdr:nvSpPr>
        <xdr:cNvPr id="1173" name="ctl00_C_Ls_GridView2_ctl150_img1" descr="تفاصيل إضافية للشركة">
          <a:extLst>
            <a:ext uri="{FF2B5EF4-FFF2-40B4-BE49-F238E27FC236}">
              <a16:creationId xmlns:a16="http://schemas.microsoft.com/office/drawing/2014/main" id="{11F04565-87B4-78F7-BC96-0CE63927FE9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432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150</xdr:row>
      <xdr:rowOff>0</xdr:rowOff>
    </xdr:from>
    <xdr:to>
      <xdr:col>8</xdr:col>
      <xdr:colOff>243840</xdr:colOff>
      <xdr:row>151</xdr:row>
      <xdr:rowOff>99060</xdr:rowOff>
    </xdr:to>
    <xdr:sp macro="" textlink="">
      <xdr:nvSpPr>
        <xdr:cNvPr id="1174" name="ctl00_C_Ls_GridView2_ctl151_img1" descr="تفاصيل إضافية للشركة">
          <a:extLst>
            <a:ext uri="{FF2B5EF4-FFF2-40B4-BE49-F238E27FC236}">
              <a16:creationId xmlns:a16="http://schemas.microsoft.com/office/drawing/2014/main" id="{5507008C-E3D3-4B72-0FA1-5E251C98F31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614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151</xdr:row>
      <xdr:rowOff>0</xdr:rowOff>
    </xdr:from>
    <xdr:to>
      <xdr:col>8</xdr:col>
      <xdr:colOff>243840</xdr:colOff>
      <xdr:row>152</xdr:row>
      <xdr:rowOff>99060</xdr:rowOff>
    </xdr:to>
    <xdr:sp macro="" textlink="">
      <xdr:nvSpPr>
        <xdr:cNvPr id="1175" name="ctl00_C_Ls_GridView2_ctl152_img1" descr="تفاصيل إضافية للشركة">
          <a:extLst>
            <a:ext uri="{FF2B5EF4-FFF2-40B4-BE49-F238E27FC236}">
              <a16:creationId xmlns:a16="http://schemas.microsoft.com/office/drawing/2014/main" id="{B5123E8B-E5BD-CE79-1A28-D605BBCCFA1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797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152</xdr:row>
      <xdr:rowOff>0</xdr:rowOff>
    </xdr:from>
    <xdr:to>
      <xdr:col>8</xdr:col>
      <xdr:colOff>243840</xdr:colOff>
      <xdr:row>153</xdr:row>
      <xdr:rowOff>99060</xdr:rowOff>
    </xdr:to>
    <xdr:sp macro="" textlink="">
      <xdr:nvSpPr>
        <xdr:cNvPr id="1176" name="ctl00_C_Ls_GridView2_ctl153_img1" descr="تفاصيل إضافية للشركة">
          <a:extLst>
            <a:ext uri="{FF2B5EF4-FFF2-40B4-BE49-F238E27FC236}">
              <a16:creationId xmlns:a16="http://schemas.microsoft.com/office/drawing/2014/main" id="{16D7BDAA-7B86-E976-23B0-11C5C538C5D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7980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153</xdr:row>
      <xdr:rowOff>0</xdr:rowOff>
    </xdr:from>
    <xdr:to>
      <xdr:col>8</xdr:col>
      <xdr:colOff>243840</xdr:colOff>
      <xdr:row>154</xdr:row>
      <xdr:rowOff>99060</xdr:rowOff>
    </xdr:to>
    <xdr:sp macro="" textlink="">
      <xdr:nvSpPr>
        <xdr:cNvPr id="1177" name="ctl00_C_Ls_GridView2_ctl154_img1" descr="تفاصيل إضافية للشركة">
          <a:extLst>
            <a:ext uri="{FF2B5EF4-FFF2-40B4-BE49-F238E27FC236}">
              <a16:creationId xmlns:a16="http://schemas.microsoft.com/office/drawing/2014/main" id="{77F6C993-D336-190A-C5AC-B8CBFA8FCC6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8163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154</xdr:row>
      <xdr:rowOff>0</xdr:rowOff>
    </xdr:from>
    <xdr:to>
      <xdr:col>8</xdr:col>
      <xdr:colOff>243840</xdr:colOff>
      <xdr:row>155</xdr:row>
      <xdr:rowOff>0</xdr:rowOff>
    </xdr:to>
    <xdr:sp macro="" textlink="">
      <xdr:nvSpPr>
        <xdr:cNvPr id="1178" name="ctl00_C_Ls_GridView2_ctl155_img1" descr="تفاصيل إضافية للشركة">
          <a:extLst>
            <a:ext uri="{FF2B5EF4-FFF2-40B4-BE49-F238E27FC236}">
              <a16:creationId xmlns:a16="http://schemas.microsoft.com/office/drawing/2014/main" id="{EB1BDEAD-67D3-BBAF-B261-952B7281DDD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834640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155</xdr:row>
      <xdr:rowOff>0</xdr:rowOff>
    </xdr:from>
    <xdr:to>
      <xdr:col>8</xdr:col>
      <xdr:colOff>243840</xdr:colOff>
      <xdr:row>156</xdr:row>
      <xdr:rowOff>99060</xdr:rowOff>
    </xdr:to>
    <xdr:sp macro="" textlink="">
      <xdr:nvSpPr>
        <xdr:cNvPr id="1179" name="ctl00_C_Ls_GridView2_ctl156_img1" descr="تفاصيل إضافية للشركة">
          <a:extLst>
            <a:ext uri="{FF2B5EF4-FFF2-40B4-BE49-F238E27FC236}">
              <a16:creationId xmlns:a16="http://schemas.microsoft.com/office/drawing/2014/main" id="{8C144C81-048C-BFE9-630D-C1E7EC45C38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8529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156</xdr:row>
      <xdr:rowOff>0</xdr:rowOff>
    </xdr:from>
    <xdr:to>
      <xdr:col>8</xdr:col>
      <xdr:colOff>243840</xdr:colOff>
      <xdr:row>157</xdr:row>
      <xdr:rowOff>99060</xdr:rowOff>
    </xdr:to>
    <xdr:sp macro="" textlink="">
      <xdr:nvSpPr>
        <xdr:cNvPr id="1180" name="ctl00_C_Ls_GridView2_ctl157_img1" descr="تفاصيل إضافية للشركة">
          <a:extLst>
            <a:ext uri="{FF2B5EF4-FFF2-40B4-BE49-F238E27FC236}">
              <a16:creationId xmlns:a16="http://schemas.microsoft.com/office/drawing/2014/main" id="{E2A4D62A-7A99-321B-FE0F-104006E6371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8712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157</xdr:row>
      <xdr:rowOff>0</xdr:rowOff>
    </xdr:from>
    <xdr:to>
      <xdr:col>8</xdr:col>
      <xdr:colOff>243840</xdr:colOff>
      <xdr:row>158</xdr:row>
      <xdr:rowOff>99060</xdr:rowOff>
    </xdr:to>
    <xdr:sp macro="" textlink="">
      <xdr:nvSpPr>
        <xdr:cNvPr id="1181" name="ctl00_C_Ls_GridView2_ctl158_img1" descr="تفاصيل إضافية للشركة">
          <a:extLst>
            <a:ext uri="{FF2B5EF4-FFF2-40B4-BE49-F238E27FC236}">
              <a16:creationId xmlns:a16="http://schemas.microsoft.com/office/drawing/2014/main" id="{13168EC8-5D64-5B8D-48A9-7C5AC141901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8895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158</xdr:row>
      <xdr:rowOff>0</xdr:rowOff>
    </xdr:from>
    <xdr:to>
      <xdr:col>8</xdr:col>
      <xdr:colOff>243840</xdr:colOff>
      <xdr:row>159</xdr:row>
      <xdr:rowOff>99060</xdr:rowOff>
    </xdr:to>
    <xdr:sp macro="" textlink="">
      <xdr:nvSpPr>
        <xdr:cNvPr id="1182" name="ctl00_C_Ls_GridView2_ctl159_img1" descr="تفاصيل إضافية للشركة">
          <a:extLst>
            <a:ext uri="{FF2B5EF4-FFF2-40B4-BE49-F238E27FC236}">
              <a16:creationId xmlns:a16="http://schemas.microsoft.com/office/drawing/2014/main" id="{9CF93709-00CF-A66A-8948-959D3282221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077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159</xdr:row>
      <xdr:rowOff>0</xdr:rowOff>
    </xdr:from>
    <xdr:to>
      <xdr:col>8</xdr:col>
      <xdr:colOff>243840</xdr:colOff>
      <xdr:row>160</xdr:row>
      <xdr:rowOff>99060</xdr:rowOff>
    </xdr:to>
    <xdr:sp macro="" textlink="">
      <xdr:nvSpPr>
        <xdr:cNvPr id="1183" name="ctl00_C_Ls_GridView2_ctl160_img1" descr="تفاصيل إضافية للشركة">
          <a:extLst>
            <a:ext uri="{FF2B5EF4-FFF2-40B4-BE49-F238E27FC236}">
              <a16:creationId xmlns:a16="http://schemas.microsoft.com/office/drawing/2014/main" id="{92517BBC-A5BB-F8DB-1A18-05881D7020C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260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160</xdr:row>
      <xdr:rowOff>0</xdr:rowOff>
    </xdr:from>
    <xdr:to>
      <xdr:col>8</xdr:col>
      <xdr:colOff>243840</xdr:colOff>
      <xdr:row>161</xdr:row>
      <xdr:rowOff>99060</xdr:rowOff>
    </xdr:to>
    <xdr:sp macro="" textlink="">
      <xdr:nvSpPr>
        <xdr:cNvPr id="1184" name="ctl00_C_Ls_GridView2_ctl161_img1" descr="تفاصيل إضافية للشركة">
          <a:extLst>
            <a:ext uri="{FF2B5EF4-FFF2-40B4-BE49-F238E27FC236}">
              <a16:creationId xmlns:a16="http://schemas.microsoft.com/office/drawing/2014/main" id="{6973A5D3-4E21-2B46-CD3D-4A18602284E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443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161</xdr:row>
      <xdr:rowOff>0</xdr:rowOff>
    </xdr:from>
    <xdr:to>
      <xdr:col>8</xdr:col>
      <xdr:colOff>243840</xdr:colOff>
      <xdr:row>162</xdr:row>
      <xdr:rowOff>99060</xdr:rowOff>
    </xdr:to>
    <xdr:sp macro="" textlink="">
      <xdr:nvSpPr>
        <xdr:cNvPr id="1185" name="ctl00_C_Ls_GridView2_ctl162_img1" descr="تفاصيل إضافية للشركة">
          <a:extLst>
            <a:ext uri="{FF2B5EF4-FFF2-40B4-BE49-F238E27FC236}">
              <a16:creationId xmlns:a16="http://schemas.microsoft.com/office/drawing/2014/main" id="{F4F21E6E-119D-4125-9E21-82B0530A5CD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626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162</xdr:row>
      <xdr:rowOff>0</xdr:rowOff>
    </xdr:from>
    <xdr:to>
      <xdr:col>8</xdr:col>
      <xdr:colOff>243840</xdr:colOff>
      <xdr:row>163</xdr:row>
      <xdr:rowOff>99060</xdr:rowOff>
    </xdr:to>
    <xdr:sp macro="" textlink="">
      <xdr:nvSpPr>
        <xdr:cNvPr id="1186" name="ctl00_C_Ls_GridView2_ctl163_img1" descr="تفاصيل إضافية للشركة">
          <a:extLst>
            <a:ext uri="{FF2B5EF4-FFF2-40B4-BE49-F238E27FC236}">
              <a16:creationId xmlns:a16="http://schemas.microsoft.com/office/drawing/2014/main" id="{1CDA1A20-82EE-11F1-DFB1-E3332842F6B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809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163</xdr:row>
      <xdr:rowOff>0</xdr:rowOff>
    </xdr:from>
    <xdr:to>
      <xdr:col>8</xdr:col>
      <xdr:colOff>243840</xdr:colOff>
      <xdr:row>164</xdr:row>
      <xdr:rowOff>99060</xdr:rowOff>
    </xdr:to>
    <xdr:sp macro="" textlink="">
      <xdr:nvSpPr>
        <xdr:cNvPr id="1187" name="ctl00_C_Ls_GridView2_ctl164_img1" descr="تفاصيل إضافية للشركة">
          <a:extLst>
            <a:ext uri="{FF2B5EF4-FFF2-40B4-BE49-F238E27FC236}">
              <a16:creationId xmlns:a16="http://schemas.microsoft.com/office/drawing/2014/main" id="{BFC67ACF-E5D5-878A-FCDE-75A8A319638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29992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164</xdr:row>
      <xdr:rowOff>0</xdr:rowOff>
    </xdr:from>
    <xdr:to>
      <xdr:col>8</xdr:col>
      <xdr:colOff>243840</xdr:colOff>
      <xdr:row>165</xdr:row>
      <xdr:rowOff>99060</xdr:rowOff>
    </xdr:to>
    <xdr:sp macro="" textlink="">
      <xdr:nvSpPr>
        <xdr:cNvPr id="1188" name="ctl00_C_Ls_GridView2_ctl165_img1" descr="تفاصيل إضافية للشركة">
          <a:extLst>
            <a:ext uri="{FF2B5EF4-FFF2-40B4-BE49-F238E27FC236}">
              <a16:creationId xmlns:a16="http://schemas.microsoft.com/office/drawing/2014/main" id="{C19D8CB1-F284-E431-267A-35E1A47D957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0175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165</xdr:row>
      <xdr:rowOff>0</xdr:rowOff>
    </xdr:from>
    <xdr:to>
      <xdr:col>8</xdr:col>
      <xdr:colOff>243840</xdr:colOff>
      <xdr:row>166</xdr:row>
      <xdr:rowOff>99060</xdr:rowOff>
    </xdr:to>
    <xdr:sp macro="" textlink="">
      <xdr:nvSpPr>
        <xdr:cNvPr id="1189" name="ctl00_C_Ls_GridView2_ctl166_img1" descr="تفاصيل إضافية للشركة">
          <a:extLst>
            <a:ext uri="{FF2B5EF4-FFF2-40B4-BE49-F238E27FC236}">
              <a16:creationId xmlns:a16="http://schemas.microsoft.com/office/drawing/2014/main" id="{1EDCBAAD-4364-CD36-A4D8-EB6D6342DE9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0358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166</xdr:row>
      <xdr:rowOff>0</xdr:rowOff>
    </xdr:from>
    <xdr:to>
      <xdr:col>8</xdr:col>
      <xdr:colOff>243840</xdr:colOff>
      <xdr:row>167</xdr:row>
      <xdr:rowOff>99060</xdr:rowOff>
    </xdr:to>
    <xdr:sp macro="" textlink="">
      <xdr:nvSpPr>
        <xdr:cNvPr id="1190" name="ctl00_C_Ls_GridView2_ctl167_img1" descr="تفاصيل إضافية للشركة">
          <a:extLst>
            <a:ext uri="{FF2B5EF4-FFF2-40B4-BE49-F238E27FC236}">
              <a16:creationId xmlns:a16="http://schemas.microsoft.com/office/drawing/2014/main" id="{72C45459-7927-C0E1-C92B-5B07D373AB9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0540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167</xdr:row>
      <xdr:rowOff>0</xdr:rowOff>
    </xdr:from>
    <xdr:to>
      <xdr:col>8</xdr:col>
      <xdr:colOff>243840</xdr:colOff>
      <xdr:row>168</xdr:row>
      <xdr:rowOff>99060</xdr:rowOff>
    </xdr:to>
    <xdr:sp macro="" textlink="">
      <xdr:nvSpPr>
        <xdr:cNvPr id="1191" name="ctl00_C_Ls_GridView2_ctl168_img1" descr="تفاصيل إضافية للشركة">
          <a:extLst>
            <a:ext uri="{FF2B5EF4-FFF2-40B4-BE49-F238E27FC236}">
              <a16:creationId xmlns:a16="http://schemas.microsoft.com/office/drawing/2014/main" id="{AA4ECF57-5F7E-8B1A-B584-D688AE3768C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0723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168</xdr:row>
      <xdr:rowOff>0</xdr:rowOff>
    </xdr:from>
    <xdr:to>
      <xdr:col>8</xdr:col>
      <xdr:colOff>243840</xdr:colOff>
      <xdr:row>169</xdr:row>
      <xdr:rowOff>0</xdr:rowOff>
    </xdr:to>
    <xdr:sp macro="" textlink="">
      <xdr:nvSpPr>
        <xdr:cNvPr id="1192" name="ctl00_C_Ls_GridView2_ctl169_img1" descr="تفاصيل إضافية للشركة">
          <a:extLst>
            <a:ext uri="{FF2B5EF4-FFF2-40B4-BE49-F238E27FC236}">
              <a16:creationId xmlns:a16="http://schemas.microsoft.com/office/drawing/2014/main" id="{77126F27-0803-C90A-67E2-870AE5ABE12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090672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169</xdr:row>
      <xdr:rowOff>0</xdr:rowOff>
    </xdr:from>
    <xdr:to>
      <xdr:col>8</xdr:col>
      <xdr:colOff>243840</xdr:colOff>
      <xdr:row>170</xdr:row>
      <xdr:rowOff>99060</xdr:rowOff>
    </xdr:to>
    <xdr:sp macro="" textlink="">
      <xdr:nvSpPr>
        <xdr:cNvPr id="1193" name="ctl00_C_Ls_GridView2_ctl170_img1" descr="تفاصيل إضافية للشركة">
          <a:extLst>
            <a:ext uri="{FF2B5EF4-FFF2-40B4-BE49-F238E27FC236}">
              <a16:creationId xmlns:a16="http://schemas.microsoft.com/office/drawing/2014/main" id="{12A2E39D-03B3-FF5D-53E0-3032AAFCF2F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1089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170</xdr:row>
      <xdr:rowOff>0</xdr:rowOff>
    </xdr:from>
    <xdr:to>
      <xdr:col>8</xdr:col>
      <xdr:colOff>243840</xdr:colOff>
      <xdr:row>171</xdr:row>
      <xdr:rowOff>99060</xdr:rowOff>
    </xdr:to>
    <xdr:sp macro="" textlink="">
      <xdr:nvSpPr>
        <xdr:cNvPr id="1194" name="ctl00_C_Ls_GridView2_ctl171_img1" descr="تفاصيل إضافية للشركة">
          <a:extLst>
            <a:ext uri="{FF2B5EF4-FFF2-40B4-BE49-F238E27FC236}">
              <a16:creationId xmlns:a16="http://schemas.microsoft.com/office/drawing/2014/main" id="{DE046773-242A-751A-5E7A-BE8CF80749B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1272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171</xdr:row>
      <xdr:rowOff>0</xdr:rowOff>
    </xdr:from>
    <xdr:to>
      <xdr:col>8</xdr:col>
      <xdr:colOff>243840</xdr:colOff>
      <xdr:row>172</xdr:row>
      <xdr:rowOff>99060</xdr:rowOff>
    </xdr:to>
    <xdr:sp macro="" textlink="">
      <xdr:nvSpPr>
        <xdr:cNvPr id="1195" name="ctl00_C_Ls_GridView2_ctl172_img1" descr="تفاصيل إضافية للشركة">
          <a:extLst>
            <a:ext uri="{FF2B5EF4-FFF2-40B4-BE49-F238E27FC236}">
              <a16:creationId xmlns:a16="http://schemas.microsoft.com/office/drawing/2014/main" id="{7C73B62E-13A1-FB94-955A-1E4F8A0CE79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1455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172</xdr:row>
      <xdr:rowOff>0</xdr:rowOff>
    </xdr:from>
    <xdr:to>
      <xdr:col>8</xdr:col>
      <xdr:colOff>243840</xdr:colOff>
      <xdr:row>173</xdr:row>
      <xdr:rowOff>99060</xdr:rowOff>
    </xdr:to>
    <xdr:sp macro="" textlink="">
      <xdr:nvSpPr>
        <xdr:cNvPr id="1196" name="ctl00_C_Ls_GridView2_ctl173_img1" descr="تفاصيل إضافية للشركة">
          <a:extLst>
            <a:ext uri="{FF2B5EF4-FFF2-40B4-BE49-F238E27FC236}">
              <a16:creationId xmlns:a16="http://schemas.microsoft.com/office/drawing/2014/main" id="{E7BC0CB1-8FBD-12DA-62D4-0B803DBFABD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1638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173</xdr:row>
      <xdr:rowOff>0</xdr:rowOff>
    </xdr:from>
    <xdr:to>
      <xdr:col>8</xdr:col>
      <xdr:colOff>243840</xdr:colOff>
      <xdr:row>174</xdr:row>
      <xdr:rowOff>99060</xdr:rowOff>
    </xdr:to>
    <xdr:sp macro="" textlink="">
      <xdr:nvSpPr>
        <xdr:cNvPr id="1197" name="ctl00_C_Ls_GridView2_ctl174_img1" descr="تفاصيل إضافية للشركة">
          <a:extLst>
            <a:ext uri="{FF2B5EF4-FFF2-40B4-BE49-F238E27FC236}">
              <a16:creationId xmlns:a16="http://schemas.microsoft.com/office/drawing/2014/main" id="{50344822-1E4D-7D82-FD35-0802D2883EA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1821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174</xdr:row>
      <xdr:rowOff>0</xdr:rowOff>
    </xdr:from>
    <xdr:to>
      <xdr:col>8</xdr:col>
      <xdr:colOff>243840</xdr:colOff>
      <xdr:row>175</xdr:row>
      <xdr:rowOff>99060</xdr:rowOff>
    </xdr:to>
    <xdr:sp macro="" textlink="">
      <xdr:nvSpPr>
        <xdr:cNvPr id="1198" name="ctl00_C_Ls_GridView2_ctl175_img1" descr="تفاصيل إضافية للشركة">
          <a:extLst>
            <a:ext uri="{FF2B5EF4-FFF2-40B4-BE49-F238E27FC236}">
              <a16:creationId xmlns:a16="http://schemas.microsoft.com/office/drawing/2014/main" id="{3165D978-9524-208C-446A-92CCC4BB898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004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175</xdr:row>
      <xdr:rowOff>0</xdr:rowOff>
    </xdr:from>
    <xdr:to>
      <xdr:col>8</xdr:col>
      <xdr:colOff>243840</xdr:colOff>
      <xdr:row>176</xdr:row>
      <xdr:rowOff>99060</xdr:rowOff>
    </xdr:to>
    <xdr:sp macro="" textlink="">
      <xdr:nvSpPr>
        <xdr:cNvPr id="1199" name="ctl00_C_Ls_GridView2_ctl176_img1" descr="تفاصيل إضافية للشركة">
          <a:extLst>
            <a:ext uri="{FF2B5EF4-FFF2-40B4-BE49-F238E27FC236}">
              <a16:creationId xmlns:a16="http://schemas.microsoft.com/office/drawing/2014/main" id="{62C54970-7CFC-7451-30B5-75C8D321D2E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186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176</xdr:row>
      <xdr:rowOff>0</xdr:rowOff>
    </xdr:from>
    <xdr:to>
      <xdr:col>8</xdr:col>
      <xdr:colOff>243840</xdr:colOff>
      <xdr:row>177</xdr:row>
      <xdr:rowOff>99060</xdr:rowOff>
    </xdr:to>
    <xdr:sp macro="" textlink="">
      <xdr:nvSpPr>
        <xdr:cNvPr id="1200" name="ctl00_C_Ls_GridView2_ctl177_img1" descr="تفاصيل إضافية للشركة">
          <a:extLst>
            <a:ext uri="{FF2B5EF4-FFF2-40B4-BE49-F238E27FC236}">
              <a16:creationId xmlns:a16="http://schemas.microsoft.com/office/drawing/2014/main" id="{96708EF0-2CA2-01C2-A216-7816FEB6FC5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369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243840</xdr:colOff>
      <xdr:row>178</xdr:row>
      <xdr:rowOff>99060</xdr:rowOff>
    </xdr:to>
    <xdr:sp macro="" textlink="">
      <xdr:nvSpPr>
        <xdr:cNvPr id="1201" name="ctl00_C_Ls_GridView2_ctl178_img1" descr="تفاصيل إضافية للشركة">
          <a:extLst>
            <a:ext uri="{FF2B5EF4-FFF2-40B4-BE49-F238E27FC236}">
              <a16:creationId xmlns:a16="http://schemas.microsoft.com/office/drawing/2014/main" id="{10126D8B-21ED-D89F-B849-66EEC62D3ED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552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243840</xdr:colOff>
      <xdr:row>179</xdr:row>
      <xdr:rowOff>0</xdr:rowOff>
    </xdr:to>
    <xdr:sp macro="" textlink="">
      <xdr:nvSpPr>
        <xdr:cNvPr id="1202" name="ctl00_C_Ls_GridView2_ctl179_img1" descr="تفاصيل إضافية للشركة">
          <a:extLst>
            <a:ext uri="{FF2B5EF4-FFF2-40B4-BE49-F238E27FC236}">
              <a16:creationId xmlns:a16="http://schemas.microsoft.com/office/drawing/2014/main" id="{9D714723-B83D-1653-2BD2-1034A15CBFC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73552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179</xdr:row>
      <xdr:rowOff>0</xdr:rowOff>
    </xdr:from>
    <xdr:to>
      <xdr:col>8</xdr:col>
      <xdr:colOff>243840</xdr:colOff>
      <xdr:row>180</xdr:row>
      <xdr:rowOff>99060</xdr:rowOff>
    </xdr:to>
    <xdr:sp macro="" textlink="">
      <xdr:nvSpPr>
        <xdr:cNvPr id="1203" name="ctl00_C_Ls_GridView2_ctl180_img1" descr="تفاصيل إضافية للشركة">
          <a:extLst>
            <a:ext uri="{FF2B5EF4-FFF2-40B4-BE49-F238E27FC236}">
              <a16:creationId xmlns:a16="http://schemas.microsoft.com/office/drawing/2014/main" id="{06830E57-1CE7-96DA-1489-A1C113B4E84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2918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180</xdr:row>
      <xdr:rowOff>0</xdr:rowOff>
    </xdr:from>
    <xdr:to>
      <xdr:col>8</xdr:col>
      <xdr:colOff>243840</xdr:colOff>
      <xdr:row>181</xdr:row>
      <xdr:rowOff>99060</xdr:rowOff>
    </xdr:to>
    <xdr:sp macro="" textlink="">
      <xdr:nvSpPr>
        <xdr:cNvPr id="1204" name="ctl00_C_Ls_GridView2_ctl181_img1" descr="تفاصيل إضافية للشركة">
          <a:extLst>
            <a:ext uri="{FF2B5EF4-FFF2-40B4-BE49-F238E27FC236}">
              <a16:creationId xmlns:a16="http://schemas.microsoft.com/office/drawing/2014/main" id="{F40DEB87-B71B-9908-204E-59913727A27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3101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181</xdr:row>
      <xdr:rowOff>0</xdr:rowOff>
    </xdr:from>
    <xdr:to>
      <xdr:col>8</xdr:col>
      <xdr:colOff>243840</xdr:colOff>
      <xdr:row>182</xdr:row>
      <xdr:rowOff>99060</xdr:rowOff>
    </xdr:to>
    <xdr:sp macro="" textlink="">
      <xdr:nvSpPr>
        <xdr:cNvPr id="1205" name="ctl00_C_Ls_GridView2_ctl182_img1" descr="تفاصيل إضافية للشركة">
          <a:extLst>
            <a:ext uri="{FF2B5EF4-FFF2-40B4-BE49-F238E27FC236}">
              <a16:creationId xmlns:a16="http://schemas.microsoft.com/office/drawing/2014/main" id="{555C8886-C2AD-E478-55EE-F149B306BC9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3284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182</xdr:row>
      <xdr:rowOff>0</xdr:rowOff>
    </xdr:from>
    <xdr:to>
      <xdr:col>8</xdr:col>
      <xdr:colOff>243840</xdr:colOff>
      <xdr:row>183</xdr:row>
      <xdr:rowOff>99060</xdr:rowOff>
    </xdr:to>
    <xdr:sp macro="" textlink="">
      <xdr:nvSpPr>
        <xdr:cNvPr id="1206" name="ctl00_C_Ls_GridView2_ctl183_img1" descr="تفاصيل إضافية للشركة">
          <a:extLst>
            <a:ext uri="{FF2B5EF4-FFF2-40B4-BE49-F238E27FC236}">
              <a16:creationId xmlns:a16="http://schemas.microsoft.com/office/drawing/2014/main" id="{1CE959F2-7A40-6F70-816E-0BB47E151FD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3467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183</xdr:row>
      <xdr:rowOff>0</xdr:rowOff>
    </xdr:from>
    <xdr:to>
      <xdr:col>8</xdr:col>
      <xdr:colOff>243840</xdr:colOff>
      <xdr:row>184</xdr:row>
      <xdr:rowOff>99060</xdr:rowOff>
    </xdr:to>
    <xdr:sp macro="" textlink="">
      <xdr:nvSpPr>
        <xdr:cNvPr id="1207" name="ctl00_C_Ls_GridView2_ctl184_img1" descr="تفاصيل إضافية للشركة">
          <a:extLst>
            <a:ext uri="{FF2B5EF4-FFF2-40B4-BE49-F238E27FC236}">
              <a16:creationId xmlns:a16="http://schemas.microsoft.com/office/drawing/2014/main" id="{2B5B0E53-5A0C-5C6D-0123-88A8C864833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3649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184</xdr:row>
      <xdr:rowOff>0</xdr:rowOff>
    </xdr:from>
    <xdr:to>
      <xdr:col>8</xdr:col>
      <xdr:colOff>243840</xdr:colOff>
      <xdr:row>185</xdr:row>
      <xdr:rowOff>99060</xdr:rowOff>
    </xdr:to>
    <xdr:sp macro="" textlink="">
      <xdr:nvSpPr>
        <xdr:cNvPr id="1208" name="ctl00_C_Ls_GridView2_ctl185_img1" descr="تفاصيل إضافية للشركة">
          <a:extLst>
            <a:ext uri="{FF2B5EF4-FFF2-40B4-BE49-F238E27FC236}">
              <a16:creationId xmlns:a16="http://schemas.microsoft.com/office/drawing/2014/main" id="{317D6834-3B87-D2D6-2C5D-7336B14F859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3832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185</xdr:row>
      <xdr:rowOff>0</xdr:rowOff>
    </xdr:from>
    <xdr:to>
      <xdr:col>8</xdr:col>
      <xdr:colOff>243840</xdr:colOff>
      <xdr:row>186</xdr:row>
      <xdr:rowOff>99060</xdr:rowOff>
    </xdr:to>
    <xdr:sp macro="" textlink="">
      <xdr:nvSpPr>
        <xdr:cNvPr id="1209" name="ctl00_C_Ls_GridView2_ctl186_img1" descr="تفاصيل إضافية للشركة">
          <a:extLst>
            <a:ext uri="{FF2B5EF4-FFF2-40B4-BE49-F238E27FC236}">
              <a16:creationId xmlns:a16="http://schemas.microsoft.com/office/drawing/2014/main" id="{78034986-2B9F-EA83-82B6-D100592612B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015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186</xdr:row>
      <xdr:rowOff>0</xdr:rowOff>
    </xdr:from>
    <xdr:to>
      <xdr:col>8</xdr:col>
      <xdr:colOff>243840</xdr:colOff>
      <xdr:row>187</xdr:row>
      <xdr:rowOff>99060</xdr:rowOff>
    </xdr:to>
    <xdr:sp macro="" textlink="">
      <xdr:nvSpPr>
        <xdr:cNvPr id="1210" name="ctl00_C_Ls_GridView2_ctl187_img1" descr="تفاصيل إضافية للشركة">
          <a:extLst>
            <a:ext uri="{FF2B5EF4-FFF2-40B4-BE49-F238E27FC236}">
              <a16:creationId xmlns:a16="http://schemas.microsoft.com/office/drawing/2014/main" id="{E60D251E-0572-557A-69CC-DF63165731B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198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187</xdr:row>
      <xdr:rowOff>0</xdr:rowOff>
    </xdr:from>
    <xdr:to>
      <xdr:col>8</xdr:col>
      <xdr:colOff>243840</xdr:colOff>
      <xdr:row>188</xdr:row>
      <xdr:rowOff>99060</xdr:rowOff>
    </xdr:to>
    <xdr:sp macro="" textlink="">
      <xdr:nvSpPr>
        <xdr:cNvPr id="1211" name="ctl00_C_Ls_GridView2_ctl188_img1" descr="تفاصيل إضافية للشركة">
          <a:extLst>
            <a:ext uri="{FF2B5EF4-FFF2-40B4-BE49-F238E27FC236}">
              <a16:creationId xmlns:a16="http://schemas.microsoft.com/office/drawing/2014/main" id="{875A1955-E9FF-F7E9-6267-AC0818D524B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381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188</xdr:row>
      <xdr:rowOff>0</xdr:rowOff>
    </xdr:from>
    <xdr:to>
      <xdr:col>8</xdr:col>
      <xdr:colOff>243840</xdr:colOff>
      <xdr:row>189</xdr:row>
      <xdr:rowOff>99060</xdr:rowOff>
    </xdr:to>
    <xdr:sp macro="" textlink="">
      <xdr:nvSpPr>
        <xdr:cNvPr id="1212" name="ctl00_C_Ls_GridView2_ctl189_img1" descr="تفاصيل إضافية للشركة">
          <a:extLst>
            <a:ext uri="{FF2B5EF4-FFF2-40B4-BE49-F238E27FC236}">
              <a16:creationId xmlns:a16="http://schemas.microsoft.com/office/drawing/2014/main" id="{5BE9234B-AF6A-6426-FE62-914E861380B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564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189</xdr:row>
      <xdr:rowOff>0</xdr:rowOff>
    </xdr:from>
    <xdr:to>
      <xdr:col>8</xdr:col>
      <xdr:colOff>243840</xdr:colOff>
      <xdr:row>190</xdr:row>
      <xdr:rowOff>99060</xdr:rowOff>
    </xdr:to>
    <xdr:sp macro="" textlink="">
      <xdr:nvSpPr>
        <xdr:cNvPr id="1213" name="ctl00_C_Ls_GridView2_ctl190_img1" descr="تفاصيل إضافية للشركة">
          <a:extLst>
            <a:ext uri="{FF2B5EF4-FFF2-40B4-BE49-F238E27FC236}">
              <a16:creationId xmlns:a16="http://schemas.microsoft.com/office/drawing/2014/main" id="{EB2CA473-13DB-E1A0-B52B-44AAE588EC2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7472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190</xdr:row>
      <xdr:rowOff>0</xdr:rowOff>
    </xdr:from>
    <xdr:to>
      <xdr:col>8</xdr:col>
      <xdr:colOff>243840</xdr:colOff>
      <xdr:row>191</xdr:row>
      <xdr:rowOff>99060</xdr:rowOff>
    </xdr:to>
    <xdr:sp macro="" textlink="">
      <xdr:nvSpPr>
        <xdr:cNvPr id="1214" name="ctl00_C_Ls_GridView2_ctl191_img1" descr="تفاصيل إضافية للشركة">
          <a:extLst>
            <a:ext uri="{FF2B5EF4-FFF2-40B4-BE49-F238E27FC236}">
              <a16:creationId xmlns:a16="http://schemas.microsoft.com/office/drawing/2014/main" id="{B0D52ED5-2898-99F2-EFB6-19B897A1169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4930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191</xdr:row>
      <xdr:rowOff>0</xdr:rowOff>
    </xdr:from>
    <xdr:to>
      <xdr:col>8</xdr:col>
      <xdr:colOff>243840</xdr:colOff>
      <xdr:row>192</xdr:row>
      <xdr:rowOff>99060</xdr:rowOff>
    </xdr:to>
    <xdr:sp macro="" textlink="">
      <xdr:nvSpPr>
        <xdr:cNvPr id="1215" name="ctl00_C_Ls_GridView2_ctl192_img1" descr="تفاصيل إضافية للشركة">
          <a:extLst>
            <a:ext uri="{FF2B5EF4-FFF2-40B4-BE49-F238E27FC236}">
              <a16:creationId xmlns:a16="http://schemas.microsoft.com/office/drawing/2014/main" id="{D366474A-F93C-EA5F-F4F9-AFA16B2693B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5112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192</xdr:row>
      <xdr:rowOff>0</xdr:rowOff>
    </xdr:from>
    <xdr:to>
      <xdr:col>8</xdr:col>
      <xdr:colOff>243840</xdr:colOff>
      <xdr:row>193</xdr:row>
      <xdr:rowOff>99060</xdr:rowOff>
    </xdr:to>
    <xdr:sp macro="" textlink="">
      <xdr:nvSpPr>
        <xdr:cNvPr id="1216" name="ctl00_C_Ls_GridView2_ctl193_img1" descr="تفاصيل إضافية للشركة">
          <a:extLst>
            <a:ext uri="{FF2B5EF4-FFF2-40B4-BE49-F238E27FC236}">
              <a16:creationId xmlns:a16="http://schemas.microsoft.com/office/drawing/2014/main" id="{AEBC280E-1E0A-7763-5E98-019E0FDEA8D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5295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193</xdr:row>
      <xdr:rowOff>0</xdr:rowOff>
    </xdr:from>
    <xdr:to>
      <xdr:col>8</xdr:col>
      <xdr:colOff>243840</xdr:colOff>
      <xdr:row>194</xdr:row>
      <xdr:rowOff>99060</xdr:rowOff>
    </xdr:to>
    <xdr:sp macro="" textlink="">
      <xdr:nvSpPr>
        <xdr:cNvPr id="1217" name="ctl00_C_Ls_GridView2_ctl194_img1" descr="تفاصيل إضافية للشركة">
          <a:extLst>
            <a:ext uri="{FF2B5EF4-FFF2-40B4-BE49-F238E27FC236}">
              <a16:creationId xmlns:a16="http://schemas.microsoft.com/office/drawing/2014/main" id="{8C20B87E-1C2C-DC12-4DA4-AAFCCF8AEE2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5478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194</xdr:row>
      <xdr:rowOff>0</xdr:rowOff>
    </xdr:from>
    <xdr:to>
      <xdr:col>8</xdr:col>
      <xdr:colOff>243840</xdr:colOff>
      <xdr:row>195</xdr:row>
      <xdr:rowOff>99060</xdr:rowOff>
    </xdr:to>
    <xdr:sp macro="" textlink="">
      <xdr:nvSpPr>
        <xdr:cNvPr id="1218" name="ctl00_C_Ls_GridView2_ctl195_img1" descr="تفاصيل إضافية للشركة">
          <a:extLst>
            <a:ext uri="{FF2B5EF4-FFF2-40B4-BE49-F238E27FC236}">
              <a16:creationId xmlns:a16="http://schemas.microsoft.com/office/drawing/2014/main" id="{E599373C-4B47-9797-862C-CB20401D042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5661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195</xdr:row>
      <xdr:rowOff>0</xdr:rowOff>
    </xdr:from>
    <xdr:to>
      <xdr:col>8</xdr:col>
      <xdr:colOff>243840</xdr:colOff>
      <xdr:row>196</xdr:row>
      <xdr:rowOff>99060</xdr:rowOff>
    </xdr:to>
    <xdr:sp macro="" textlink="">
      <xdr:nvSpPr>
        <xdr:cNvPr id="1219" name="ctl00_C_Ls_GridView2_ctl196_img1" descr="تفاصيل إضافية للشركة">
          <a:extLst>
            <a:ext uri="{FF2B5EF4-FFF2-40B4-BE49-F238E27FC236}">
              <a16:creationId xmlns:a16="http://schemas.microsoft.com/office/drawing/2014/main" id="{588E6D3F-5899-1874-87BF-8D09BA4DFD8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5844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196</xdr:row>
      <xdr:rowOff>0</xdr:rowOff>
    </xdr:from>
    <xdr:to>
      <xdr:col>8</xdr:col>
      <xdr:colOff>243840</xdr:colOff>
      <xdr:row>197</xdr:row>
      <xdr:rowOff>99060</xdr:rowOff>
    </xdr:to>
    <xdr:sp macro="" textlink="">
      <xdr:nvSpPr>
        <xdr:cNvPr id="1220" name="ctl00_C_Ls_GridView2_ctl197_img1" descr="تفاصيل إضافية للشركة">
          <a:extLst>
            <a:ext uri="{FF2B5EF4-FFF2-40B4-BE49-F238E27FC236}">
              <a16:creationId xmlns:a16="http://schemas.microsoft.com/office/drawing/2014/main" id="{A636AC87-405E-D804-9B86-36DF15510E74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027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197</xdr:row>
      <xdr:rowOff>0</xdr:rowOff>
    </xdr:from>
    <xdr:to>
      <xdr:col>8</xdr:col>
      <xdr:colOff>243840</xdr:colOff>
      <xdr:row>198</xdr:row>
      <xdr:rowOff>99060</xdr:rowOff>
    </xdr:to>
    <xdr:sp macro="" textlink="">
      <xdr:nvSpPr>
        <xdr:cNvPr id="1221" name="ctl00_C_Ls_GridView2_ctl198_img1" descr="تفاصيل إضافية للشركة">
          <a:extLst>
            <a:ext uri="{FF2B5EF4-FFF2-40B4-BE49-F238E27FC236}">
              <a16:creationId xmlns:a16="http://schemas.microsoft.com/office/drawing/2014/main" id="{5A5D110F-FC03-B275-05BD-413334AB1E8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210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198</xdr:row>
      <xdr:rowOff>0</xdr:rowOff>
    </xdr:from>
    <xdr:to>
      <xdr:col>8</xdr:col>
      <xdr:colOff>243840</xdr:colOff>
      <xdr:row>199</xdr:row>
      <xdr:rowOff>99060</xdr:rowOff>
    </xdr:to>
    <xdr:sp macro="" textlink="">
      <xdr:nvSpPr>
        <xdr:cNvPr id="1222" name="ctl00_C_Ls_GridView2_ctl199_img1" descr="تفاصيل إضافية للشركة">
          <a:extLst>
            <a:ext uri="{FF2B5EF4-FFF2-40B4-BE49-F238E27FC236}">
              <a16:creationId xmlns:a16="http://schemas.microsoft.com/office/drawing/2014/main" id="{47565852-EB8D-0750-355B-B440BD08C94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393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199</xdr:row>
      <xdr:rowOff>0</xdr:rowOff>
    </xdr:from>
    <xdr:to>
      <xdr:col>8</xdr:col>
      <xdr:colOff>243840</xdr:colOff>
      <xdr:row>200</xdr:row>
      <xdr:rowOff>99060</xdr:rowOff>
    </xdr:to>
    <xdr:sp macro="" textlink="">
      <xdr:nvSpPr>
        <xdr:cNvPr id="1223" name="ctl00_C_Ls_GridView2_ctl200_img1" descr="تفاصيل إضافية للشركة">
          <a:extLst>
            <a:ext uri="{FF2B5EF4-FFF2-40B4-BE49-F238E27FC236}">
              <a16:creationId xmlns:a16="http://schemas.microsoft.com/office/drawing/2014/main" id="{356C02A3-BD34-2131-0D48-F22387C4D76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576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200</xdr:row>
      <xdr:rowOff>0</xdr:rowOff>
    </xdr:from>
    <xdr:to>
      <xdr:col>8</xdr:col>
      <xdr:colOff>243840</xdr:colOff>
      <xdr:row>201</xdr:row>
      <xdr:rowOff>99060</xdr:rowOff>
    </xdr:to>
    <xdr:sp macro="" textlink="">
      <xdr:nvSpPr>
        <xdr:cNvPr id="1224" name="ctl00_C_Ls_GridView2_ctl201_img1" descr="تفاصيل إضافية للشركة">
          <a:extLst>
            <a:ext uri="{FF2B5EF4-FFF2-40B4-BE49-F238E27FC236}">
              <a16:creationId xmlns:a16="http://schemas.microsoft.com/office/drawing/2014/main" id="{4FEF694E-A1F0-4FF8-DC73-6E4622DD7FA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758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201</xdr:row>
      <xdr:rowOff>0</xdr:rowOff>
    </xdr:from>
    <xdr:to>
      <xdr:col>8</xdr:col>
      <xdr:colOff>243840</xdr:colOff>
      <xdr:row>202</xdr:row>
      <xdr:rowOff>99060</xdr:rowOff>
    </xdr:to>
    <xdr:sp macro="" textlink="">
      <xdr:nvSpPr>
        <xdr:cNvPr id="1225" name="ctl00_C_Ls_GridView2_ctl202_img1" descr="تفاصيل إضافية للشركة">
          <a:extLst>
            <a:ext uri="{FF2B5EF4-FFF2-40B4-BE49-F238E27FC236}">
              <a16:creationId xmlns:a16="http://schemas.microsoft.com/office/drawing/2014/main" id="{1D5526AB-BBEF-EFF8-0208-C57ABA598C4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6941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202</xdr:row>
      <xdr:rowOff>0</xdr:rowOff>
    </xdr:from>
    <xdr:to>
      <xdr:col>8</xdr:col>
      <xdr:colOff>243840</xdr:colOff>
      <xdr:row>203</xdr:row>
      <xdr:rowOff>99060</xdr:rowOff>
    </xdr:to>
    <xdr:sp macro="" textlink="">
      <xdr:nvSpPr>
        <xdr:cNvPr id="1226" name="ctl00_C_Ls_GridView2_ctl203_img1" descr="تفاصيل إضافية للشركة">
          <a:extLst>
            <a:ext uri="{FF2B5EF4-FFF2-40B4-BE49-F238E27FC236}">
              <a16:creationId xmlns:a16="http://schemas.microsoft.com/office/drawing/2014/main" id="{052ACEE7-E16F-2FDA-6D0B-0BEF7CE5784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7124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203</xdr:row>
      <xdr:rowOff>0</xdr:rowOff>
    </xdr:from>
    <xdr:to>
      <xdr:col>8</xdr:col>
      <xdr:colOff>243840</xdr:colOff>
      <xdr:row>204</xdr:row>
      <xdr:rowOff>99060</xdr:rowOff>
    </xdr:to>
    <xdr:sp macro="" textlink="">
      <xdr:nvSpPr>
        <xdr:cNvPr id="1227" name="ctl00_C_Ls_GridView2_ctl204_img1" descr="تفاصيل إضافية للشركة">
          <a:extLst>
            <a:ext uri="{FF2B5EF4-FFF2-40B4-BE49-F238E27FC236}">
              <a16:creationId xmlns:a16="http://schemas.microsoft.com/office/drawing/2014/main" id="{F8029C6F-3657-CD0A-308A-C9B14DD12AB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7307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204</xdr:row>
      <xdr:rowOff>0</xdr:rowOff>
    </xdr:from>
    <xdr:to>
      <xdr:col>8</xdr:col>
      <xdr:colOff>243840</xdr:colOff>
      <xdr:row>205</xdr:row>
      <xdr:rowOff>99060</xdr:rowOff>
    </xdr:to>
    <xdr:sp macro="" textlink="">
      <xdr:nvSpPr>
        <xdr:cNvPr id="1228" name="ctl00_C_Ls_GridView2_ctl205_img1" descr="تفاصيل إضافية للشركة">
          <a:extLst>
            <a:ext uri="{FF2B5EF4-FFF2-40B4-BE49-F238E27FC236}">
              <a16:creationId xmlns:a16="http://schemas.microsoft.com/office/drawing/2014/main" id="{C030B45E-CFA4-C9F9-4B94-14A3CD58511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7490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205</xdr:row>
      <xdr:rowOff>0</xdr:rowOff>
    </xdr:from>
    <xdr:to>
      <xdr:col>8</xdr:col>
      <xdr:colOff>243840</xdr:colOff>
      <xdr:row>206</xdr:row>
      <xdr:rowOff>99060</xdr:rowOff>
    </xdr:to>
    <xdr:sp macro="" textlink="">
      <xdr:nvSpPr>
        <xdr:cNvPr id="1229" name="ctl00_C_Ls_GridView2_ctl206_img1" descr="تفاصيل إضافية للشركة">
          <a:extLst>
            <a:ext uri="{FF2B5EF4-FFF2-40B4-BE49-F238E27FC236}">
              <a16:creationId xmlns:a16="http://schemas.microsoft.com/office/drawing/2014/main" id="{AC3388F1-F4C9-15D9-292C-C7A73BDA72FC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7673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206</xdr:row>
      <xdr:rowOff>0</xdr:rowOff>
    </xdr:from>
    <xdr:to>
      <xdr:col>8</xdr:col>
      <xdr:colOff>243840</xdr:colOff>
      <xdr:row>207</xdr:row>
      <xdr:rowOff>99060</xdr:rowOff>
    </xdr:to>
    <xdr:sp macro="" textlink="">
      <xdr:nvSpPr>
        <xdr:cNvPr id="1230" name="ctl00_C_Ls_GridView2_ctl207_img1" descr="تفاصيل إضافية للشركة">
          <a:extLst>
            <a:ext uri="{FF2B5EF4-FFF2-40B4-BE49-F238E27FC236}">
              <a16:creationId xmlns:a16="http://schemas.microsoft.com/office/drawing/2014/main" id="{F7F852E6-7AD4-682C-CBE7-F39951A3382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7856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207</xdr:row>
      <xdr:rowOff>0</xdr:rowOff>
    </xdr:from>
    <xdr:to>
      <xdr:col>8</xdr:col>
      <xdr:colOff>243840</xdr:colOff>
      <xdr:row>208</xdr:row>
      <xdr:rowOff>99060</xdr:rowOff>
    </xdr:to>
    <xdr:sp macro="" textlink="">
      <xdr:nvSpPr>
        <xdr:cNvPr id="1231" name="ctl00_C_Ls_GridView2_ctl208_img1" descr="تفاصيل إضافية للشركة">
          <a:extLst>
            <a:ext uri="{FF2B5EF4-FFF2-40B4-BE49-F238E27FC236}">
              <a16:creationId xmlns:a16="http://schemas.microsoft.com/office/drawing/2014/main" id="{77BB88C6-D676-9CE2-17AF-735E453CD51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039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208</xdr:row>
      <xdr:rowOff>0</xdr:rowOff>
    </xdr:from>
    <xdr:to>
      <xdr:col>8</xdr:col>
      <xdr:colOff>243840</xdr:colOff>
      <xdr:row>209</xdr:row>
      <xdr:rowOff>99060</xdr:rowOff>
    </xdr:to>
    <xdr:sp macro="" textlink="">
      <xdr:nvSpPr>
        <xdr:cNvPr id="1232" name="ctl00_C_Ls_GridView2_ctl209_img1" descr="تفاصيل إضافية للشركة">
          <a:extLst>
            <a:ext uri="{FF2B5EF4-FFF2-40B4-BE49-F238E27FC236}">
              <a16:creationId xmlns:a16="http://schemas.microsoft.com/office/drawing/2014/main" id="{613B22F0-039C-7E52-B53B-F7E69A4F7AD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2219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209</xdr:row>
      <xdr:rowOff>0</xdr:rowOff>
    </xdr:from>
    <xdr:to>
      <xdr:col>8</xdr:col>
      <xdr:colOff>243840</xdr:colOff>
      <xdr:row>210</xdr:row>
      <xdr:rowOff>99060</xdr:rowOff>
    </xdr:to>
    <xdr:sp macro="" textlink="">
      <xdr:nvSpPr>
        <xdr:cNvPr id="1233" name="ctl00_C_Ls_GridView2_ctl210_img1" descr="تفاصيل إضافية للشركة">
          <a:extLst>
            <a:ext uri="{FF2B5EF4-FFF2-40B4-BE49-F238E27FC236}">
              <a16:creationId xmlns:a16="http://schemas.microsoft.com/office/drawing/2014/main" id="{B7ABF602-7DF6-074D-31F7-4625E67E47A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4048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210</xdr:row>
      <xdr:rowOff>0</xdr:rowOff>
    </xdr:from>
    <xdr:to>
      <xdr:col>8</xdr:col>
      <xdr:colOff>243840</xdr:colOff>
      <xdr:row>211</xdr:row>
      <xdr:rowOff>99060</xdr:rowOff>
    </xdr:to>
    <xdr:sp macro="" textlink="">
      <xdr:nvSpPr>
        <xdr:cNvPr id="1234" name="ctl00_C_Ls_GridView2_ctl211_img1" descr="تفاصيل إضافية للشركة">
          <a:extLst>
            <a:ext uri="{FF2B5EF4-FFF2-40B4-BE49-F238E27FC236}">
              <a16:creationId xmlns:a16="http://schemas.microsoft.com/office/drawing/2014/main" id="{2370416D-3AD8-13C9-B3CE-6E96CE6C7A8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5876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211</xdr:row>
      <xdr:rowOff>0</xdr:rowOff>
    </xdr:from>
    <xdr:to>
      <xdr:col>8</xdr:col>
      <xdr:colOff>243840</xdr:colOff>
      <xdr:row>212</xdr:row>
      <xdr:rowOff>99060</xdr:rowOff>
    </xdr:to>
    <xdr:sp macro="" textlink="">
      <xdr:nvSpPr>
        <xdr:cNvPr id="1235" name="ctl00_C_Ls_GridView2_ctl212_img1" descr="تفاصيل إضافية للشركة">
          <a:extLst>
            <a:ext uri="{FF2B5EF4-FFF2-40B4-BE49-F238E27FC236}">
              <a16:creationId xmlns:a16="http://schemas.microsoft.com/office/drawing/2014/main" id="{FB219AEE-2441-A3C2-D681-338B55B1A16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7705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212</xdr:row>
      <xdr:rowOff>0</xdr:rowOff>
    </xdr:from>
    <xdr:to>
      <xdr:col>8</xdr:col>
      <xdr:colOff>243840</xdr:colOff>
      <xdr:row>213</xdr:row>
      <xdr:rowOff>99060</xdr:rowOff>
    </xdr:to>
    <xdr:sp macro="" textlink="">
      <xdr:nvSpPr>
        <xdr:cNvPr id="1236" name="ctl00_C_Ls_GridView2_ctl213_img1" descr="تفاصيل إضافية للشركة">
          <a:extLst>
            <a:ext uri="{FF2B5EF4-FFF2-40B4-BE49-F238E27FC236}">
              <a16:creationId xmlns:a16="http://schemas.microsoft.com/office/drawing/2014/main" id="{96FF7F9E-AB3E-7E11-53B1-300E625A92CB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89534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213</xdr:row>
      <xdr:rowOff>0</xdr:rowOff>
    </xdr:from>
    <xdr:to>
      <xdr:col>8</xdr:col>
      <xdr:colOff>243840</xdr:colOff>
      <xdr:row>214</xdr:row>
      <xdr:rowOff>99060</xdr:rowOff>
    </xdr:to>
    <xdr:sp macro="" textlink="">
      <xdr:nvSpPr>
        <xdr:cNvPr id="1237" name="ctl00_C_Ls_GridView2_ctl214_img1" descr="تفاصيل إضافية للشركة">
          <a:extLst>
            <a:ext uri="{FF2B5EF4-FFF2-40B4-BE49-F238E27FC236}">
              <a16:creationId xmlns:a16="http://schemas.microsoft.com/office/drawing/2014/main" id="{5BD5ED23-CE01-5B4B-0694-7CC0FEED1C97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91363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214</xdr:row>
      <xdr:rowOff>0</xdr:rowOff>
    </xdr:from>
    <xdr:to>
      <xdr:col>8</xdr:col>
      <xdr:colOff>243840</xdr:colOff>
      <xdr:row>215</xdr:row>
      <xdr:rowOff>0</xdr:rowOff>
    </xdr:to>
    <xdr:sp macro="" textlink="">
      <xdr:nvSpPr>
        <xdr:cNvPr id="1238" name="ctl00_C_Ls_GridView2_ctl215_img1" descr="تفاصيل إضافية للشركة">
          <a:extLst>
            <a:ext uri="{FF2B5EF4-FFF2-40B4-BE49-F238E27FC236}">
              <a16:creationId xmlns:a16="http://schemas.microsoft.com/office/drawing/2014/main" id="{A0FAA48D-6350-4699-AEB3-A3779E0FA89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9319200"/>
          <a:ext cx="2438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215</xdr:row>
      <xdr:rowOff>0</xdr:rowOff>
    </xdr:from>
    <xdr:to>
      <xdr:col>8</xdr:col>
      <xdr:colOff>243840</xdr:colOff>
      <xdr:row>216</xdr:row>
      <xdr:rowOff>99060</xdr:rowOff>
    </xdr:to>
    <xdr:sp macro="" textlink="">
      <xdr:nvSpPr>
        <xdr:cNvPr id="1239" name="ctl00_C_Ls_GridView2_ctl216_img1" descr="تفاصيل إضافية للشركة">
          <a:extLst>
            <a:ext uri="{FF2B5EF4-FFF2-40B4-BE49-F238E27FC236}">
              <a16:creationId xmlns:a16="http://schemas.microsoft.com/office/drawing/2014/main" id="{23149B54-7E87-4B4A-ADFA-83183053DFA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95020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216</xdr:row>
      <xdr:rowOff>0</xdr:rowOff>
    </xdr:from>
    <xdr:to>
      <xdr:col>8</xdr:col>
      <xdr:colOff>243840</xdr:colOff>
      <xdr:row>217</xdr:row>
      <xdr:rowOff>99060</xdr:rowOff>
    </xdr:to>
    <xdr:sp macro="" textlink="">
      <xdr:nvSpPr>
        <xdr:cNvPr id="1240" name="ctl00_C_Ls_GridView2_ctl217_img1" descr="تفاصيل إضافية للشركة">
          <a:extLst>
            <a:ext uri="{FF2B5EF4-FFF2-40B4-BE49-F238E27FC236}">
              <a16:creationId xmlns:a16="http://schemas.microsoft.com/office/drawing/2014/main" id="{1442A939-3B05-B559-97A9-8BE41C2E4E7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96849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217</xdr:row>
      <xdr:rowOff>0</xdr:rowOff>
    </xdr:from>
    <xdr:to>
      <xdr:col>8</xdr:col>
      <xdr:colOff>243840</xdr:colOff>
      <xdr:row>218</xdr:row>
      <xdr:rowOff>99060</xdr:rowOff>
    </xdr:to>
    <xdr:sp macro="" textlink="">
      <xdr:nvSpPr>
        <xdr:cNvPr id="1241" name="ctl00_C_Ls_GridView2_ctl218_img1" descr="تفاصيل إضافية للشركة">
          <a:extLst>
            <a:ext uri="{FF2B5EF4-FFF2-40B4-BE49-F238E27FC236}">
              <a16:creationId xmlns:a16="http://schemas.microsoft.com/office/drawing/2014/main" id="{1FC38657-1F72-C64C-DCBC-6247D466540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398678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218</xdr:row>
      <xdr:rowOff>0</xdr:rowOff>
    </xdr:from>
    <xdr:to>
      <xdr:col>8</xdr:col>
      <xdr:colOff>243840</xdr:colOff>
      <xdr:row>219</xdr:row>
      <xdr:rowOff>99060</xdr:rowOff>
    </xdr:to>
    <xdr:sp macro="" textlink="">
      <xdr:nvSpPr>
        <xdr:cNvPr id="1242" name="ctl00_C_Ls_GridView2_ctl219_img1" descr="تفاصيل إضافية للشركة">
          <a:extLst>
            <a:ext uri="{FF2B5EF4-FFF2-40B4-BE49-F238E27FC236}">
              <a16:creationId xmlns:a16="http://schemas.microsoft.com/office/drawing/2014/main" id="{8B03111D-9B17-1675-0BDB-346C1EE1973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0507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219</xdr:row>
      <xdr:rowOff>0</xdr:rowOff>
    </xdr:from>
    <xdr:to>
      <xdr:col>8</xdr:col>
      <xdr:colOff>243840</xdr:colOff>
      <xdr:row>220</xdr:row>
      <xdr:rowOff>99060</xdr:rowOff>
    </xdr:to>
    <xdr:sp macro="" textlink="">
      <xdr:nvSpPr>
        <xdr:cNvPr id="1243" name="ctl00_C_Ls_GridView2_ctl220_img1" descr="تفاصيل إضافية للشركة">
          <a:extLst>
            <a:ext uri="{FF2B5EF4-FFF2-40B4-BE49-F238E27FC236}">
              <a16:creationId xmlns:a16="http://schemas.microsoft.com/office/drawing/2014/main" id="{A40CCEA4-07E8-FA2A-3A1D-9E303F7C047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2336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220</xdr:row>
      <xdr:rowOff>0</xdr:rowOff>
    </xdr:from>
    <xdr:to>
      <xdr:col>8</xdr:col>
      <xdr:colOff>243840</xdr:colOff>
      <xdr:row>221</xdr:row>
      <xdr:rowOff>99060</xdr:rowOff>
    </xdr:to>
    <xdr:sp macro="" textlink="">
      <xdr:nvSpPr>
        <xdr:cNvPr id="1244" name="ctl00_C_Ls_GridView2_ctl221_img1" descr="تفاصيل إضافية للشركة">
          <a:extLst>
            <a:ext uri="{FF2B5EF4-FFF2-40B4-BE49-F238E27FC236}">
              <a16:creationId xmlns:a16="http://schemas.microsoft.com/office/drawing/2014/main" id="{664AB2EC-BFD6-288A-EEB0-A9D4D1F82CA9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4164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221</xdr:row>
      <xdr:rowOff>0</xdr:rowOff>
    </xdr:from>
    <xdr:to>
      <xdr:col>8</xdr:col>
      <xdr:colOff>243840</xdr:colOff>
      <xdr:row>222</xdr:row>
      <xdr:rowOff>99060</xdr:rowOff>
    </xdr:to>
    <xdr:sp macro="" textlink="">
      <xdr:nvSpPr>
        <xdr:cNvPr id="1245" name="ctl00_C_Ls_GridView2_ctl222_img1" descr="تفاصيل إضافية للشركة">
          <a:extLst>
            <a:ext uri="{FF2B5EF4-FFF2-40B4-BE49-F238E27FC236}">
              <a16:creationId xmlns:a16="http://schemas.microsoft.com/office/drawing/2014/main" id="{467D1E97-9548-9676-9BFA-8965B219EA6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5993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222</xdr:row>
      <xdr:rowOff>0</xdr:rowOff>
    </xdr:from>
    <xdr:to>
      <xdr:col>8</xdr:col>
      <xdr:colOff>243840</xdr:colOff>
      <xdr:row>223</xdr:row>
      <xdr:rowOff>99060</xdr:rowOff>
    </xdr:to>
    <xdr:sp macro="" textlink="">
      <xdr:nvSpPr>
        <xdr:cNvPr id="1246" name="ctl00_C_Ls_GridView2_ctl223_img1" descr="تفاصيل إضافية للشركة">
          <a:extLst>
            <a:ext uri="{FF2B5EF4-FFF2-40B4-BE49-F238E27FC236}">
              <a16:creationId xmlns:a16="http://schemas.microsoft.com/office/drawing/2014/main" id="{51FC8ABA-60E0-2EA2-EC36-E1CB8D039AA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7822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223</xdr:row>
      <xdr:rowOff>0</xdr:rowOff>
    </xdr:from>
    <xdr:to>
      <xdr:col>8</xdr:col>
      <xdr:colOff>243840</xdr:colOff>
      <xdr:row>224</xdr:row>
      <xdr:rowOff>99060</xdr:rowOff>
    </xdr:to>
    <xdr:sp macro="" textlink="">
      <xdr:nvSpPr>
        <xdr:cNvPr id="1247" name="ctl00_C_Ls_GridView2_ctl224_img1" descr="تفاصيل إضافية للشركة">
          <a:extLst>
            <a:ext uri="{FF2B5EF4-FFF2-40B4-BE49-F238E27FC236}">
              <a16:creationId xmlns:a16="http://schemas.microsoft.com/office/drawing/2014/main" id="{663A539D-8C32-7479-15D4-25A6EAFD593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09651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224</xdr:row>
      <xdr:rowOff>0</xdr:rowOff>
    </xdr:from>
    <xdr:to>
      <xdr:col>8</xdr:col>
      <xdr:colOff>243840</xdr:colOff>
      <xdr:row>225</xdr:row>
      <xdr:rowOff>99060</xdr:rowOff>
    </xdr:to>
    <xdr:sp macro="" textlink="">
      <xdr:nvSpPr>
        <xdr:cNvPr id="1248" name="ctl00_C_Ls_GridView2_ctl225_img1" descr="تفاصيل إضافية للشركة">
          <a:extLst>
            <a:ext uri="{FF2B5EF4-FFF2-40B4-BE49-F238E27FC236}">
              <a16:creationId xmlns:a16="http://schemas.microsoft.com/office/drawing/2014/main" id="{A8D8EBCF-0218-72A4-A6D8-9B2EEC9B3582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11480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225</xdr:row>
      <xdr:rowOff>0</xdr:rowOff>
    </xdr:from>
    <xdr:to>
      <xdr:col>8</xdr:col>
      <xdr:colOff>243840</xdr:colOff>
      <xdr:row>226</xdr:row>
      <xdr:rowOff>99060</xdr:rowOff>
    </xdr:to>
    <xdr:sp macro="" textlink="">
      <xdr:nvSpPr>
        <xdr:cNvPr id="1249" name="ctl00_C_Ls_GridView2_ctl226_img1" descr="تفاصيل إضافية للشركة">
          <a:extLst>
            <a:ext uri="{FF2B5EF4-FFF2-40B4-BE49-F238E27FC236}">
              <a16:creationId xmlns:a16="http://schemas.microsoft.com/office/drawing/2014/main" id="{C19A9D63-BC74-6235-C11D-E4DA005F728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13308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226</xdr:row>
      <xdr:rowOff>0</xdr:rowOff>
    </xdr:from>
    <xdr:to>
      <xdr:col>8</xdr:col>
      <xdr:colOff>243840</xdr:colOff>
      <xdr:row>227</xdr:row>
      <xdr:rowOff>99060</xdr:rowOff>
    </xdr:to>
    <xdr:sp macro="" textlink="">
      <xdr:nvSpPr>
        <xdr:cNvPr id="1250" name="ctl00_C_Ls_GridView2_ctl227_img1" descr="تفاصيل إضافية للشركة">
          <a:extLst>
            <a:ext uri="{FF2B5EF4-FFF2-40B4-BE49-F238E27FC236}">
              <a16:creationId xmlns:a16="http://schemas.microsoft.com/office/drawing/2014/main" id="{260691C2-93DE-9D7B-6462-BAAD3F9F21D3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15137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227</xdr:row>
      <xdr:rowOff>0</xdr:rowOff>
    </xdr:from>
    <xdr:to>
      <xdr:col>8</xdr:col>
      <xdr:colOff>243840</xdr:colOff>
      <xdr:row>228</xdr:row>
      <xdr:rowOff>99060</xdr:rowOff>
    </xdr:to>
    <xdr:sp macro="" textlink="">
      <xdr:nvSpPr>
        <xdr:cNvPr id="1251" name="ctl00_C_Ls_GridView2_ctl228_img1" descr="تفاصيل إضافية للشركة">
          <a:extLst>
            <a:ext uri="{FF2B5EF4-FFF2-40B4-BE49-F238E27FC236}">
              <a16:creationId xmlns:a16="http://schemas.microsoft.com/office/drawing/2014/main" id="{0943B780-430F-02FA-BCFB-045A136410D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16966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228</xdr:row>
      <xdr:rowOff>0</xdr:rowOff>
    </xdr:from>
    <xdr:to>
      <xdr:col>8</xdr:col>
      <xdr:colOff>243840</xdr:colOff>
      <xdr:row>229</xdr:row>
      <xdr:rowOff>99060</xdr:rowOff>
    </xdr:to>
    <xdr:sp macro="" textlink="">
      <xdr:nvSpPr>
        <xdr:cNvPr id="1252" name="ctl00_C_Ls_GridView2_ctl229_img1" descr="تفاصيل إضافية للشركة">
          <a:extLst>
            <a:ext uri="{FF2B5EF4-FFF2-40B4-BE49-F238E27FC236}">
              <a16:creationId xmlns:a16="http://schemas.microsoft.com/office/drawing/2014/main" id="{283322BA-50E2-382C-4B4B-EDB0F7CBA88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18795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229</xdr:row>
      <xdr:rowOff>0</xdr:rowOff>
    </xdr:from>
    <xdr:to>
      <xdr:col>8</xdr:col>
      <xdr:colOff>243840</xdr:colOff>
      <xdr:row>230</xdr:row>
      <xdr:rowOff>99060</xdr:rowOff>
    </xdr:to>
    <xdr:sp macro="" textlink="">
      <xdr:nvSpPr>
        <xdr:cNvPr id="1253" name="ctl00_C_Ls_GridView2_ctl230_img1" descr="تفاصيل إضافية للشركة">
          <a:extLst>
            <a:ext uri="{FF2B5EF4-FFF2-40B4-BE49-F238E27FC236}">
              <a16:creationId xmlns:a16="http://schemas.microsoft.com/office/drawing/2014/main" id="{9E70D7A3-5D6D-543B-E8EC-6E2EB989A20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0624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230</xdr:row>
      <xdr:rowOff>0</xdr:rowOff>
    </xdr:from>
    <xdr:to>
      <xdr:col>8</xdr:col>
      <xdr:colOff>243840</xdr:colOff>
      <xdr:row>231</xdr:row>
      <xdr:rowOff>99060</xdr:rowOff>
    </xdr:to>
    <xdr:sp macro="" textlink="">
      <xdr:nvSpPr>
        <xdr:cNvPr id="1254" name="ctl00_C_Ls_GridView2_ctl231_img1" descr="تفاصيل إضافية للشركة">
          <a:extLst>
            <a:ext uri="{FF2B5EF4-FFF2-40B4-BE49-F238E27FC236}">
              <a16:creationId xmlns:a16="http://schemas.microsoft.com/office/drawing/2014/main" id="{EEC0EA48-D466-4F48-3466-234C3030A1F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2452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231</xdr:row>
      <xdr:rowOff>0</xdr:rowOff>
    </xdr:from>
    <xdr:to>
      <xdr:col>8</xdr:col>
      <xdr:colOff>243840</xdr:colOff>
      <xdr:row>232</xdr:row>
      <xdr:rowOff>99060</xdr:rowOff>
    </xdr:to>
    <xdr:sp macro="" textlink="">
      <xdr:nvSpPr>
        <xdr:cNvPr id="1255" name="ctl00_C_Ls_GridView2_ctl232_img1" descr="تفاصيل إضافية للشركة">
          <a:extLst>
            <a:ext uri="{FF2B5EF4-FFF2-40B4-BE49-F238E27FC236}">
              <a16:creationId xmlns:a16="http://schemas.microsoft.com/office/drawing/2014/main" id="{8A60B21D-864A-C673-CE98-B7FCF013FB06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4281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232</xdr:row>
      <xdr:rowOff>0</xdr:rowOff>
    </xdr:from>
    <xdr:to>
      <xdr:col>8</xdr:col>
      <xdr:colOff>243840</xdr:colOff>
      <xdr:row>233</xdr:row>
      <xdr:rowOff>91440</xdr:rowOff>
    </xdr:to>
    <xdr:sp macro="" textlink="">
      <xdr:nvSpPr>
        <xdr:cNvPr id="1256" name="ctl00_C_Ls_GridView2_ctl233_img1" descr="تفاصيل إضافية للشركة">
          <a:extLst>
            <a:ext uri="{FF2B5EF4-FFF2-40B4-BE49-F238E27FC236}">
              <a16:creationId xmlns:a16="http://schemas.microsoft.com/office/drawing/2014/main" id="{53D75DB9-B949-36C3-624A-72455134140A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6110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233</xdr:row>
      <xdr:rowOff>0</xdr:rowOff>
    </xdr:from>
    <xdr:to>
      <xdr:col>8</xdr:col>
      <xdr:colOff>243840</xdr:colOff>
      <xdr:row>234</xdr:row>
      <xdr:rowOff>99060</xdr:rowOff>
    </xdr:to>
    <xdr:sp macro="" textlink="">
      <xdr:nvSpPr>
        <xdr:cNvPr id="1257" name="ctl00_C_Ls_GridView2_ctl234_img1" descr="تفاصيل إضافية للشركة">
          <a:extLst>
            <a:ext uri="{FF2B5EF4-FFF2-40B4-BE49-F238E27FC236}">
              <a16:creationId xmlns:a16="http://schemas.microsoft.com/office/drawing/2014/main" id="{1424130C-D6B6-6877-6863-C5249B46ED91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8015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234</xdr:row>
      <xdr:rowOff>0</xdr:rowOff>
    </xdr:from>
    <xdr:to>
      <xdr:col>8</xdr:col>
      <xdr:colOff>243840</xdr:colOff>
      <xdr:row>235</xdr:row>
      <xdr:rowOff>99060</xdr:rowOff>
    </xdr:to>
    <xdr:sp macro="" textlink="">
      <xdr:nvSpPr>
        <xdr:cNvPr id="1258" name="ctl00_C_Ls_GridView2_ctl235_img1" descr="تفاصيل إضافية للشركة">
          <a:extLst>
            <a:ext uri="{FF2B5EF4-FFF2-40B4-BE49-F238E27FC236}">
              <a16:creationId xmlns:a16="http://schemas.microsoft.com/office/drawing/2014/main" id="{693E4283-94FE-A339-7D90-A62B607E0F7D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29844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235</xdr:row>
      <xdr:rowOff>0</xdr:rowOff>
    </xdr:from>
    <xdr:to>
      <xdr:col>8</xdr:col>
      <xdr:colOff>243840</xdr:colOff>
      <xdr:row>236</xdr:row>
      <xdr:rowOff>99060</xdr:rowOff>
    </xdr:to>
    <xdr:sp macro="" textlink="">
      <xdr:nvSpPr>
        <xdr:cNvPr id="1259" name="ctl00_C_Ls_GridView2_ctl236_img1" descr="تفاصيل إضافية للشركة">
          <a:extLst>
            <a:ext uri="{FF2B5EF4-FFF2-40B4-BE49-F238E27FC236}">
              <a16:creationId xmlns:a16="http://schemas.microsoft.com/office/drawing/2014/main" id="{A584684C-DD24-21DB-C58A-E050BD65B75E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316730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236</xdr:row>
      <xdr:rowOff>0</xdr:rowOff>
    </xdr:from>
    <xdr:to>
      <xdr:col>8</xdr:col>
      <xdr:colOff>243840</xdr:colOff>
      <xdr:row>237</xdr:row>
      <xdr:rowOff>99060</xdr:rowOff>
    </xdr:to>
    <xdr:sp macro="" textlink="">
      <xdr:nvSpPr>
        <xdr:cNvPr id="1260" name="ctl00_C_Ls_GridView2_ctl237_img1" descr="تفاصيل إضافية للشركة">
          <a:extLst>
            <a:ext uri="{FF2B5EF4-FFF2-40B4-BE49-F238E27FC236}">
              <a16:creationId xmlns:a16="http://schemas.microsoft.com/office/drawing/2014/main" id="{21F50BB9-08A5-5050-2564-EC0C67A16230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335018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237</xdr:row>
      <xdr:rowOff>0</xdr:rowOff>
    </xdr:from>
    <xdr:to>
      <xdr:col>8</xdr:col>
      <xdr:colOff>243840</xdr:colOff>
      <xdr:row>238</xdr:row>
      <xdr:rowOff>99060</xdr:rowOff>
    </xdr:to>
    <xdr:sp macro="" textlink="">
      <xdr:nvSpPr>
        <xdr:cNvPr id="1261" name="ctl00_C_Ls_GridView2_ctl238_img1" descr="تفاصيل إضافية للشركة">
          <a:extLst>
            <a:ext uri="{FF2B5EF4-FFF2-40B4-BE49-F238E27FC236}">
              <a16:creationId xmlns:a16="http://schemas.microsoft.com/office/drawing/2014/main" id="{42F0C10F-9A5E-BBA3-EA87-13CB7941DF85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353306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238</xdr:row>
      <xdr:rowOff>0</xdr:rowOff>
    </xdr:from>
    <xdr:to>
      <xdr:col>8</xdr:col>
      <xdr:colOff>243840</xdr:colOff>
      <xdr:row>239</xdr:row>
      <xdr:rowOff>99060</xdr:rowOff>
    </xdr:to>
    <xdr:sp macro="" textlink="">
      <xdr:nvSpPr>
        <xdr:cNvPr id="1262" name="ctl00_C_Ls_GridView2_ctl239_img1" descr="تفاصيل إضافية للشركة">
          <a:extLst>
            <a:ext uri="{FF2B5EF4-FFF2-40B4-BE49-F238E27FC236}">
              <a16:creationId xmlns:a16="http://schemas.microsoft.com/office/drawing/2014/main" id="{13B54491-662F-3FA2-5C51-446FDCB6FDD8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371594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239</xdr:row>
      <xdr:rowOff>0</xdr:rowOff>
    </xdr:from>
    <xdr:to>
      <xdr:col>8</xdr:col>
      <xdr:colOff>243840</xdr:colOff>
      <xdr:row>240</xdr:row>
      <xdr:rowOff>99060</xdr:rowOff>
    </xdr:to>
    <xdr:sp macro="" textlink="">
      <xdr:nvSpPr>
        <xdr:cNvPr id="1263" name="ctl00_C_Ls_GridView2_ctl240_img1" descr="تفاصيل إضافية للشركة">
          <a:extLst>
            <a:ext uri="{FF2B5EF4-FFF2-40B4-BE49-F238E27FC236}">
              <a16:creationId xmlns:a16="http://schemas.microsoft.com/office/drawing/2014/main" id="{F1135468-819A-21DF-2124-CA2FE0026C4F}"/>
            </a:ext>
          </a:extLst>
        </xdr:cNvPr>
        <xdr:cNvSpPr>
          <a:spLocks noChangeAspect="1" noChangeArrowheads="1"/>
        </xdr:cNvSpPr>
      </xdr:nvSpPr>
      <xdr:spPr bwMode="auto">
        <a:xfrm>
          <a:off x="13731240" y="43898820"/>
          <a:ext cx="24384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gx.com.eg/ar/NewsList.aspx?ISIN=EGS739Z1C016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84" Type="http://schemas.openxmlformats.org/officeDocument/2006/relationships/hyperlink" Target="javascript:void(0);" TargetMode="External"/><Relationship Id="rId138" Type="http://schemas.openxmlformats.org/officeDocument/2006/relationships/hyperlink" Target="javascript:void(0);" TargetMode="External"/><Relationship Id="rId159" Type="http://schemas.openxmlformats.org/officeDocument/2006/relationships/hyperlink" Target="javascript:void(0);" TargetMode="External"/><Relationship Id="rId170" Type="http://schemas.openxmlformats.org/officeDocument/2006/relationships/hyperlink" Target="javascript:void(0);" TargetMode="External"/><Relationship Id="rId191" Type="http://schemas.openxmlformats.org/officeDocument/2006/relationships/hyperlink" Target="javascript:void(0);" TargetMode="External"/><Relationship Id="rId205" Type="http://schemas.openxmlformats.org/officeDocument/2006/relationships/hyperlink" Target="javascript:void(0);" TargetMode="External"/><Relationship Id="rId226" Type="http://schemas.openxmlformats.org/officeDocument/2006/relationships/hyperlink" Target="javascript:void(0);" TargetMode="External"/><Relationship Id="rId107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128" Type="http://schemas.openxmlformats.org/officeDocument/2006/relationships/hyperlink" Target="javascript:void(0);" TargetMode="External"/><Relationship Id="rId149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95" Type="http://schemas.openxmlformats.org/officeDocument/2006/relationships/hyperlink" Target="javascript:void(0);" TargetMode="External"/><Relationship Id="rId160" Type="http://schemas.openxmlformats.org/officeDocument/2006/relationships/hyperlink" Target="javascript:void(0);" TargetMode="External"/><Relationship Id="rId181" Type="http://schemas.openxmlformats.org/officeDocument/2006/relationships/hyperlink" Target="javascript:void(0);" TargetMode="External"/><Relationship Id="rId216" Type="http://schemas.openxmlformats.org/officeDocument/2006/relationships/hyperlink" Target="javascript:void(0);" TargetMode="External"/><Relationship Id="rId237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118" Type="http://schemas.openxmlformats.org/officeDocument/2006/relationships/hyperlink" Target="javascript:void(0);" TargetMode="External"/><Relationship Id="rId139" Type="http://schemas.openxmlformats.org/officeDocument/2006/relationships/hyperlink" Target="javascript:void(0);" TargetMode="External"/><Relationship Id="rId85" Type="http://schemas.openxmlformats.org/officeDocument/2006/relationships/hyperlink" Target="javascript:void(0);" TargetMode="External"/><Relationship Id="rId150" Type="http://schemas.openxmlformats.org/officeDocument/2006/relationships/hyperlink" Target="javascript:void(0);" TargetMode="External"/><Relationship Id="rId171" Type="http://schemas.openxmlformats.org/officeDocument/2006/relationships/hyperlink" Target="javascript:void(0);" TargetMode="External"/><Relationship Id="rId192" Type="http://schemas.openxmlformats.org/officeDocument/2006/relationships/hyperlink" Target="javascript:void(0);" TargetMode="External"/><Relationship Id="rId206" Type="http://schemas.openxmlformats.org/officeDocument/2006/relationships/hyperlink" Target="javascript:void(0);" TargetMode="External"/><Relationship Id="rId22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108" Type="http://schemas.openxmlformats.org/officeDocument/2006/relationships/hyperlink" Target="javascript:void(0);" TargetMode="External"/><Relationship Id="rId129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96" Type="http://schemas.openxmlformats.org/officeDocument/2006/relationships/hyperlink" Target="javascript:void(0);" TargetMode="External"/><Relationship Id="rId140" Type="http://schemas.openxmlformats.org/officeDocument/2006/relationships/hyperlink" Target="javascript:void(0);" TargetMode="External"/><Relationship Id="rId161" Type="http://schemas.openxmlformats.org/officeDocument/2006/relationships/hyperlink" Target="javascript:void(0);" TargetMode="External"/><Relationship Id="rId182" Type="http://schemas.openxmlformats.org/officeDocument/2006/relationships/hyperlink" Target="javascript:void(0);" TargetMode="External"/><Relationship Id="rId217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238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119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86" Type="http://schemas.openxmlformats.org/officeDocument/2006/relationships/hyperlink" Target="javascript:void(0);" TargetMode="External"/><Relationship Id="rId130" Type="http://schemas.openxmlformats.org/officeDocument/2006/relationships/hyperlink" Target="javascript:void(0);" TargetMode="External"/><Relationship Id="rId151" Type="http://schemas.openxmlformats.org/officeDocument/2006/relationships/hyperlink" Target="javascript:void(0);" TargetMode="External"/><Relationship Id="rId172" Type="http://schemas.openxmlformats.org/officeDocument/2006/relationships/hyperlink" Target="javascript:void(0);" TargetMode="External"/><Relationship Id="rId193" Type="http://schemas.openxmlformats.org/officeDocument/2006/relationships/hyperlink" Target="javascript:void(0);" TargetMode="External"/><Relationship Id="rId207" Type="http://schemas.openxmlformats.org/officeDocument/2006/relationships/hyperlink" Target="javascript:void(0);" TargetMode="External"/><Relationship Id="rId22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09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97" Type="http://schemas.openxmlformats.org/officeDocument/2006/relationships/hyperlink" Target="javascript:void(0);" TargetMode="External"/><Relationship Id="rId120" Type="http://schemas.openxmlformats.org/officeDocument/2006/relationships/hyperlink" Target="javascript:void(0);" TargetMode="External"/><Relationship Id="rId14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62" Type="http://schemas.openxmlformats.org/officeDocument/2006/relationships/hyperlink" Target="javascript:void(0);" TargetMode="External"/><Relationship Id="rId183" Type="http://schemas.openxmlformats.org/officeDocument/2006/relationships/hyperlink" Target="javascript:void(0);" TargetMode="External"/><Relationship Id="rId218" Type="http://schemas.openxmlformats.org/officeDocument/2006/relationships/hyperlink" Target="javascript:void(0);" TargetMode="External"/><Relationship Id="rId239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87" Type="http://schemas.openxmlformats.org/officeDocument/2006/relationships/hyperlink" Target="javascript:void(0);" TargetMode="External"/><Relationship Id="rId110" Type="http://schemas.openxmlformats.org/officeDocument/2006/relationships/hyperlink" Target="javascript:void(0);" TargetMode="External"/><Relationship Id="rId131" Type="http://schemas.openxmlformats.org/officeDocument/2006/relationships/hyperlink" Target="javascript:void(0);" TargetMode="External"/><Relationship Id="rId152" Type="http://schemas.openxmlformats.org/officeDocument/2006/relationships/hyperlink" Target="javascript:void(0);" TargetMode="External"/><Relationship Id="rId173" Type="http://schemas.openxmlformats.org/officeDocument/2006/relationships/hyperlink" Target="javascript:void(0);" TargetMode="External"/><Relationship Id="rId194" Type="http://schemas.openxmlformats.org/officeDocument/2006/relationships/hyperlink" Target="javascript:void(0);" TargetMode="External"/><Relationship Id="rId208" Type="http://schemas.openxmlformats.org/officeDocument/2006/relationships/hyperlink" Target="javascript:void(0);" TargetMode="External"/><Relationship Id="rId229" Type="http://schemas.openxmlformats.org/officeDocument/2006/relationships/hyperlink" Target="javascript:void(0);" TargetMode="External"/><Relationship Id="rId240" Type="http://schemas.openxmlformats.org/officeDocument/2006/relationships/printerSettings" Target="../printerSettings/printerSettings3.bin"/><Relationship Id="rId14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100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98" Type="http://schemas.openxmlformats.org/officeDocument/2006/relationships/hyperlink" Target="javascript:void(0);" TargetMode="External"/><Relationship Id="rId121" Type="http://schemas.openxmlformats.org/officeDocument/2006/relationships/hyperlink" Target="javascript:void(0);" TargetMode="External"/><Relationship Id="rId142" Type="http://schemas.openxmlformats.org/officeDocument/2006/relationships/hyperlink" Target="javascript:void(0);" TargetMode="External"/><Relationship Id="rId163" Type="http://schemas.openxmlformats.org/officeDocument/2006/relationships/hyperlink" Target="javascript:void(0);" TargetMode="External"/><Relationship Id="rId184" Type="http://schemas.openxmlformats.org/officeDocument/2006/relationships/hyperlink" Target="javascript:void(0);" TargetMode="External"/><Relationship Id="rId219" Type="http://schemas.openxmlformats.org/officeDocument/2006/relationships/hyperlink" Target="javascript:void(0);" TargetMode="External"/><Relationship Id="rId230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88" Type="http://schemas.openxmlformats.org/officeDocument/2006/relationships/hyperlink" Target="javascript:void(0);" TargetMode="External"/><Relationship Id="rId111" Type="http://schemas.openxmlformats.org/officeDocument/2006/relationships/hyperlink" Target="javascript:void(0);" TargetMode="External"/><Relationship Id="rId132" Type="http://schemas.openxmlformats.org/officeDocument/2006/relationships/hyperlink" Target="javascript:void(0);" TargetMode="External"/><Relationship Id="rId153" Type="http://schemas.openxmlformats.org/officeDocument/2006/relationships/hyperlink" Target="javascript:void(0);" TargetMode="External"/><Relationship Id="rId174" Type="http://schemas.openxmlformats.org/officeDocument/2006/relationships/hyperlink" Target="javascript:void(0);" TargetMode="External"/><Relationship Id="rId195" Type="http://schemas.openxmlformats.org/officeDocument/2006/relationships/hyperlink" Target="javascript:void(0);" TargetMode="External"/><Relationship Id="rId209" Type="http://schemas.openxmlformats.org/officeDocument/2006/relationships/hyperlink" Target="javascript:void(0);" TargetMode="External"/><Relationship Id="rId220" Type="http://schemas.openxmlformats.org/officeDocument/2006/relationships/hyperlink" Target="javascript:void(0);" TargetMode="External"/><Relationship Id="rId241" Type="http://schemas.openxmlformats.org/officeDocument/2006/relationships/drawing" Target="../drawings/drawing1.xml"/><Relationship Id="rId15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Relationship Id="rId106" Type="http://schemas.openxmlformats.org/officeDocument/2006/relationships/hyperlink" Target="javascript:void(0);" TargetMode="External"/><Relationship Id="rId127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94" Type="http://schemas.openxmlformats.org/officeDocument/2006/relationships/hyperlink" Target="javascript:void(0);" TargetMode="External"/><Relationship Id="rId99" Type="http://schemas.openxmlformats.org/officeDocument/2006/relationships/hyperlink" Target="javascript:void(0);" TargetMode="External"/><Relationship Id="rId101" Type="http://schemas.openxmlformats.org/officeDocument/2006/relationships/hyperlink" Target="javascript:void(0);" TargetMode="External"/><Relationship Id="rId122" Type="http://schemas.openxmlformats.org/officeDocument/2006/relationships/hyperlink" Target="javascript:void(0);" TargetMode="External"/><Relationship Id="rId143" Type="http://schemas.openxmlformats.org/officeDocument/2006/relationships/hyperlink" Target="javascript:void(0);" TargetMode="External"/><Relationship Id="rId148" Type="http://schemas.openxmlformats.org/officeDocument/2006/relationships/hyperlink" Target="javascript:void(0);" TargetMode="External"/><Relationship Id="rId164" Type="http://schemas.openxmlformats.org/officeDocument/2006/relationships/hyperlink" Target="javascript:void(0);" TargetMode="External"/><Relationship Id="rId169" Type="http://schemas.openxmlformats.org/officeDocument/2006/relationships/hyperlink" Target="javascript:void(0);" TargetMode="External"/><Relationship Id="rId185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80" Type="http://schemas.openxmlformats.org/officeDocument/2006/relationships/hyperlink" Target="javascript:void(0);" TargetMode="External"/><Relationship Id="rId210" Type="http://schemas.openxmlformats.org/officeDocument/2006/relationships/hyperlink" Target="javascript:void(0);" TargetMode="External"/><Relationship Id="rId215" Type="http://schemas.openxmlformats.org/officeDocument/2006/relationships/hyperlink" Target="javascript:void(0);" TargetMode="External"/><Relationship Id="rId236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31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89" Type="http://schemas.openxmlformats.org/officeDocument/2006/relationships/hyperlink" Target="javascript:void(0);" TargetMode="External"/><Relationship Id="rId112" Type="http://schemas.openxmlformats.org/officeDocument/2006/relationships/hyperlink" Target="javascript:void(0);" TargetMode="External"/><Relationship Id="rId133" Type="http://schemas.openxmlformats.org/officeDocument/2006/relationships/hyperlink" Target="javascript:void(0);" TargetMode="External"/><Relationship Id="rId154" Type="http://schemas.openxmlformats.org/officeDocument/2006/relationships/hyperlink" Target="javascript:void(0);" TargetMode="External"/><Relationship Id="rId175" Type="http://schemas.openxmlformats.org/officeDocument/2006/relationships/hyperlink" Target="javascript:void(0);" TargetMode="External"/><Relationship Id="rId196" Type="http://schemas.openxmlformats.org/officeDocument/2006/relationships/hyperlink" Target="javascript:void(0);" TargetMode="External"/><Relationship Id="rId200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21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102" Type="http://schemas.openxmlformats.org/officeDocument/2006/relationships/hyperlink" Target="javascript:void(0);" TargetMode="External"/><Relationship Id="rId123" Type="http://schemas.openxmlformats.org/officeDocument/2006/relationships/hyperlink" Target="javascript:void(0);" TargetMode="External"/><Relationship Id="rId144" Type="http://schemas.openxmlformats.org/officeDocument/2006/relationships/hyperlink" Target="javascript:void(0);" TargetMode="External"/><Relationship Id="rId90" Type="http://schemas.openxmlformats.org/officeDocument/2006/relationships/hyperlink" Target="javascript:void(0);" TargetMode="External"/><Relationship Id="rId165" Type="http://schemas.openxmlformats.org/officeDocument/2006/relationships/hyperlink" Target="javascript:void(0);" TargetMode="External"/><Relationship Id="rId186" Type="http://schemas.openxmlformats.org/officeDocument/2006/relationships/hyperlink" Target="javascript:void(0);" TargetMode="External"/><Relationship Id="rId211" Type="http://schemas.openxmlformats.org/officeDocument/2006/relationships/hyperlink" Target="javascript:void(0);" TargetMode="External"/><Relationship Id="rId23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113" Type="http://schemas.openxmlformats.org/officeDocument/2006/relationships/hyperlink" Target="javascript:void(0);" TargetMode="External"/><Relationship Id="rId134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155" Type="http://schemas.openxmlformats.org/officeDocument/2006/relationships/hyperlink" Target="javascript:void(0);" TargetMode="External"/><Relationship Id="rId176" Type="http://schemas.openxmlformats.org/officeDocument/2006/relationships/hyperlink" Target="javascript:void(0);" TargetMode="External"/><Relationship Id="rId197" Type="http://schemas.openxmlformats.org/officeDocument/2006/relationships/hyperlink" Target="javascript:void(0);" TargetMode="External"/><Relationship Id="rId201" Type="http://schemas.openxmlformats.org/officeDocument/2006/relationships/hyperlink" Target="javascript:void(0);" TargetMode="External"/><Relationship Id="rId22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103" Type="http://schemas.openxmlformats.org/officeDocument/2006/relationships/hyperlink" Target="javascript:void(0);" TargetMode="External"/><Relationship Id="rId124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91" Type="http://schemas.openxmlformats.org/officeDocument/2006/relationships/hyperlink" Target="javascript:void(0);" TargetMode="External"/><Relationship Id="rId145" Type="http://schemas.openxmlformats.org/officeDocument/2006/relationships/hyperlink" Target="javascript:void(0);" TargetMode="External"/><Relationship Id="rId166" Type="http://schemas.openxmlformats.org/officeDocument/2006/relationships/hyperlink" Target="javascript:void(0);" TargetMode="External"/><Relationship Id="rId187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212" Type="http://schemas.openxmlformats.org/officeDocument/2006/relationships/hyperlink" Target="javascript:void(0);" TargetMode="External"/><Relationship Id="rId23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114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81" Type="http://schemas.openxmlformats.org/officeDocument/2006/relationships/hyperlink" Target="javascript:void(0);" TargetMode="External"/><Relationship Id="rId135" Type="http://schemas.openxmlformats.org/officeDocument/2006/relationships/hyperlink" Target="javascript:void(0);" TargetMode="External"/><Relationship Id="rId156" Type="http://schemas.openxmlformats.org/officeDocument/2006/relationships/hyperlink" Target="javascript:void(0);" TargetMode="External"/><Relationship Id="rId177" Type="http://schemas.openxmlformats.org/officeDocument/2006/relationships/hyperlink" Target="javascript:void(0);" TargetMode="External"/><Relationship Id="rId198" Type="http://schemas.openxmlformats.org/officeDocument/2006/relationships/hyperlink" Target="javascript:void(0);" TargetMode="External"/><Relationship Id="rId202" Type="http://schemas.openxmlformats.org/officeDocument/2006/relationships/hyperlink" Target="javascript:void(0);" TargetMode="External"/><Relationship Id="rId22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104" Type="http://schemas.openxmlformats.org/officeDocument/2006/relationships/hyperlink" Target="javascript:void(0);" TargetMode="External"/><Relationship Id="rId125" Type="http://schemas.openxmlformats.org/officeDocument/2006/relationships/hyperlink" Target="javascript:void(0);" TargetMode="External"/><Relationship Id="rId146" Type="http://schemas.openxmlformats.org/officeDocument/2006/relationships/hyperlink" Target="javascript:void(0);" TargetMode="External"/><Relationship Id="rId167" Type="http://schemas.openxmlformats.org/officeDocument/2006/relationships/hyperlink" Target="javascript:void(0);" TargetMode="External"/><Relationship Id="rId188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92" Type="http://schemas.openxmlformats.org/officeDocument/2006/relationships/hyperlink" Target="javascript:void(0);" TargetMode="External"/><Relationship Id="rId213" Type="http://schemas.openxmlformats.org/officeDocument/2006/relationships/hyperlink" Target="javascript:void(0);" TargetMode="External"/><Relationship Id="rId234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115" Type="http://schemas.openxmlformats.org/officeDocument/2006/relationships/hyperlink" Target="javascript:void(0);" TargetMode="External"/><Relationship Id="rId136" Type="http://schemas.openxmlformats.org/officeDocument/2006/relationships/hyperlink" Target="javascript:void(0);" TargetMode="External"/><Relationship Id="rId157" Type="http://schemas.openxmlformats.org/officeDocument/2006/relationships/hyperlink" Target="javascript:void(0);" TargetMode="External"/><Relationship Id="rId178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82" Type="http://schemas.openxmlformats.org/officeDocument/2006/relationships/hyperlink" Target="javascript:void(0);" TargetMode="External"/><Relationship Id="rId199" Type="http://schemas.openxmlformats.org/officeDocument/2006/relationships/hyperlink" Target="javascript:void(0);" TargetMode="External"/><Relationship Id="rId203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224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105" Type="http://schemas.openxmlformats.org/officeDocument/2006/relationships/hyperlink" Target="javascript:void(0);" TargetMode="External"/><Relationship Id="rId126" Type="http://schemas.openxmlformats.org/officeDocument/2006/relationships/hyperlink" Target="javascript:void(0);" TargetMode="External"/><Relationship Id="rId147" Type="http://schemas.openxmlformats.org/officeDocument/2006/relationships/hyperlink" Target="javascript:void(0);" TargetMode="External"/><Relationship Id="rId16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93" Type="http://schemas.openxmlformats.org/officeDocument/2006/relationships/hyperlink" Target="javascript:void(0);" TargetMode="External"/><Relationship Id="rId189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4" Type="http://schemas.openxmlformats.org/officeDocument/2006/relationships/hyperlink" Target="javascript:void(0);" TargetMode="External"/><Relationship Id="rId235" Type="http://schemas.openxmlformats.org/officeDocument/2006/relationships/hyperlink" Target="javascript:void(0);" TargetMode="External"/><Relationship Id="rId116" Type="http://schemas.openxmlformats.org/officeDocument/2006/relationships/hyperlink" Target="javascript:void(0);" TargetMode="External"/><Relationship Id="rId137" Type="http://schemas.openxmlformats.org/officeDocument/2006/relationships/hyperlink" Target="javascript:void(0);" TargetMode="External"/><Relationship Id="rId158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83" Type="http://schemas.openxmlformats.org/officeDocument/2006/relationships/hyperlink" Target="javascript:void(0);" TargetMode="External"/><Relationship Id="rId179" Type="http://schemas.openxmlformats.org/officeDocument/2006/relationships/hyperlink" Target="javascript:void(0);" TargetMode="External"/><Relationship Id="rId190" Type="http://schemas.openxmlformats.org/officeDocument/2006/relationships/hyperlink" Target="javascript:void(0);" TargetMode="External"/><Relationship Id="rId204" Type="http://schemas.openxmlformats.org/officeDocument/2006/relationships/hyperlink" Target="javascript:void(0);" TargetMode="External"/><Relationship Id="rId225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5B1B-F3FF-4502-8B36-D10722C6CE05}">
  <dimension ref="A1:O252"/>
  <sheetViews>
    <sheetView tabSelected="1" workbookViewId="0">
      <pane ySplit="1" topLeftCell="A221" activePane="bottomLeft" state="frozen"/>
      <selection pane="bottomLeft" activeCell="D239" sqref="D239"/>
    </sheetView>
  </sheetViews>
  <sheetFormatPr defaultColWidth="8.85546875" defaultRowHeight="15" x14ac:dyDescent="0.25"/>
  <cols>
    <col min="1" max="1" width="8.140625" style="18" bestFit="1" customWidth="1"/>
    <col min="2" max="2" width="44.28515625" style="18" bestFit="1" customWidth="1"/>
    <col min="3" max="3" width="46.7109375" style="18" bestFit="1" customWidth="1"/>
    <col min="4" max="4" width="22.42578125" style="18" customWidth="1"/>
    <col min="5" max="5" width="12.85546875" style="18" bestFit="1" customWidth="1"/>
    <col min="6" max="6" width="10.7109375" style="18" bestFit="1" customWidth="1"/>
    <col min="7" max="7" width="10.28515625" style="18" bestFit="1" customWidth="1"/>
    <col min="8" max="8" width="10.42578125" style="18" bestFit="1" customWidth="1"/>
    <col min="9" max="9" width="8.42578125" style="18" customWidth="1"/>
    <col min="10" max="10" width="7.7109375" style="18" bestFit="1" customWidth="1"/>
    <col min="11" max="11" width="9.5703125" style="18" bestFit="1" customWidth="1"/>
    <col min="12" max="12" width="13.42578125" style="18" bestFit="1" customWidth="1"/>
    <col min="13" max="13" width="10.85546875" style="18" bestFit="1" customWidth="1"/>
    <col min="14" max="14" width="12.42578125" style="18" bestFit="1" customWidth="1"/>
    <col min="15" max="15" width="24.28515625" style="18" bestFit="1" customWidth="1"/>
    <col min="16" max="16384" width="8.85546875" style="18"/>
  </cols>
  <sheetData>
    <row r="1" spans="1:15" ht="21" customHeight="1" x14ac:dyDescent="0.25">
      <c r="A1" s="16" t="s">
        <v>411</v>
      </c>
      <c r="B1" s="17" t="s">
        <v>415</v>
      </c>
      <c r="C1" s="17" t="s">
        <v>414</v>
      </c>
      <c r="D1" s="16" t="s">
        <v>30</v>
      </c>
      <c r="E1" s="16" t="s">
        <v>31</v>
      </c>
      <c r="F1" s="16" t="s">
        <v>2</v>
      </c>
      <c r="G1" s="16" t="s">
        <v>586</v>
      </c>
      <c r="H1" s="16" t="s">
        <v>590</v>
      </c>
      <c r="I1" s="16" t="s">
        <v>591</v>
      </c>
      <c r="J1" s="16" t="s">
        <v>587</v>
      </c>
      <c r="K1" s="16" t="s">
        <v>588</v>
      </c>
      <c r="L1" s="16" t="s">
        <v>36</v>
      </c>
      <c r="M1" s="16" t="s">
        <v>589</v>
      </c>
      <c r="N1" s="16" t="s">
        <v>37</v>
      </c>
      <c r="O1" s="16" t="s">
        <v>38</v>
      </c>
    </row>
    <row r="2" spans="1:15" x14ac:dyDescent="0.25">
      <c r="A2" s="19" t="s">
        <v>374</v>
      </c>
      <c r="B2" s="18" t="str">
        <f>C2</f>
        <v>اية كابيتال القابضة</v>
      </c>
      <c r="C2" s="18" t="str">
        <f>VLOOKUP(A2,Sheet1!C:F,2,0)</f>
        <v>اية كابيتال القابضة</v>
      </c>
      <c r="D2" s="18" t="s">
        <v>40</v>
      </c>
      <c r="E2" s="18">
        <f>VLOOKUP(C2,Sheet2!A:N,4,0)</f>
        <v>9.1999999999999993</v>
      </c>
      <c r="F2" s="18">
        <f>VLOOKUP(C2,Sheet2!A:N,5,0)</f>
        <v>9.1999999999999993</v>
      </c>
      <c r="G2" s="18">
        <f>VLOOKUP(C2,Sheet2!A:N,6,0)</f>
        <v>9.06</v>
      </c>
      <c r="H2" s="18">
        <f>VLOOKUP(C2,Sheet2!A:N,7,0)</f>
        <v>-1.52</v>
      </c>
      <c r="I2" s="18">
        <f>VLOOKUP(C2,Sheet2!A:N,8,0)</f>
        <v>9.06</v>
      </c>
      <c r="J2" s="18">
        <f>VLOOKUP(C2,Sheet2!A:N,9,0)</f>
        <v>9.39</v>
      </c>
      <c r="K2" s="18">
        <f>VLOOKUP(C2,Sheet2!A:N,10,0)</f>
        <v>9.02</v>
      </c>
      <c r="L2" s="20">
        <f>VLOOKUP(C2,Sheet2!A:N,11,0)</f>
        <v>5567868.8600000003</v>
      </c>
      <c r="M2" s="21">
        <f>VLOOKUP(C2,Sheet2!A:N,12,0)</f>
        <v>605796</v>
      </c>
      <c r="N2" s="18">
        <f>VLOOKUP(C2,Sheet2!A:N,13,0)</f>
        <v>447</v>
      </c>
      <c r="O2" s="21">
        <f>VLOOKUP(C2,Sheet2!A:N,14,0)</f>
        <v>6625</v>
      </c>
    </row>
    <row r="3" spans="1:15" x14ac:dyDescent="0.25">
      <c r="A3" s="19" t="s">
        <v>307</v>
      </c>
      <c r="B3" s="18" t="str">
        <f t="shared" ref="B3:B66" si="0">C3</f>
        <v>طاقة عربية</v>
      </c>
      <c r="C3" s="18" t="str">
        <f>VLOOKUP(A3,Sheet1!C:F,2,0)</f>
        <v>طاقة عربية</v>
      </c>
      <c r="D3" s="18" t="s">
        <v>41</v>
      </c>
      <c r="E3" s="18">
        <f>VLOOKUP(C3,Sheet2!A:N,4,0)</f>
        <v>15.6</v>
      </c>
      <c r="F3" s="18">
        <f>VLOOKUP(C3,Sheet2!A:N,5,0)</f>
        <v>15.6</v>
      </c>
      <c r="G3" s="18">
        <f>VLOOKUP(C3,Sheet2!A:N,6,0)</f>
        <v>15.3</v>
      </c>
      <c r="H3" s="18">
        <f>VLOOKUP(C3,Sheet2!A:N,7,0)</f>
        <v>-1.92</v>
      </c>
      <c r="I3" s="18">
        <f>VLOOKUP(C3,Sheet2!A:N,8,0)</f>
        <v>15.3</v>
      </c>
      <c r="J3" s="18">
        <f>VLOOKUP(C3,Sheet2!A:N,9,0)</f>
        <v>15.69</v>
      </c>
      <c r="K3" s="18">
        <f>VLOOKUP(C3,Sheet2!A:N,10,0)</f>
        <v>15.13</v>
      </c>
      <c r="L3" s="20">
        <f>VLOOKUP(C3,Sheet2!A:N,11,0)</f>
        <v>68089318.290000007</v>
      </c>
      <c r="M3" s="21">
        <f>VLOOKUP(C3,Sheet2!A:N,12,0)</f>
        <v>4436058</v>
      </c>
      <c r="N3" s="18">
        <f>VLOOKUP(C3,Sheet2!A:N,13,0)</f>
        <v>2110</v>
      </c>
      <c r="O3" s="21">
        <f>VLOOKUP(C3,Sheet2!A:N,14,0)</f>
        <v>20691</v>
      </c>
    </row>
    <row r="4" spans="1:15" x14ac:dyDescent="0.25">
      <c r="A4" s="19" t="s">
        <v>396</v>
      </c>
      <c r="B4" s="18" t="str">
        <f t="shared" si="0"/>
        <v>الوطنية للطباعة</v>
      </c>
      <c r="C4" s="18" t="str">
        <f>VLOOKUP(A4,Sheet1!C:F,2,0)</f>
        <v>الوطنية للطباعة</v>
      </c>
      <c r="D4" s="18" t="s">
        <v>42</v>
      </c>
      <c r="E4" s="18">
        <f>VLOOKUP(C4,Sheet2!A:N,4,0)</f>
        <v>25.02</v>
      </c>
      <c r="F4" s="18">
        <f>VLOOKUP(C4,Sheet2!A:N,5,0)</f>
        <v>25.02</v>
      </c>
      <c r="G4" s="18">
        <f>VLOOKUP(C4,Sheet2!A:N,6,0)</f>
        <v>25.87</v>
      </c>
      <c r="H4" s="18">
        <f>VLOOKUP(C4,Sheet2!A:N,7,0)</f>
        <v>3.4</v>
      </c>
      <c r="I4" s="18">
        <f>VLOOKUP(C4,Sheet2!A:N,8,0)</f>
        <v>25.9</v>
      </c>
      <c r="J4" s="18">
        <f>VLOOKUP(C4,Sheet2!A:N,9,0)</f>
        <v>26</v>
      </c>
      <c r="K4" s="18">
        <f>VLOOKUP(C4,Sheet2!A:N,10,0)</f>
        <v>25.1</v>
      </c>
      <c r="L4" s="20">
        <f>VLOOKUP(C4,Sheet2!A:N,11,0)</f>
        <v>559078.21</v>
      </c>
      <c r="M4" s="21">
        <f>VLOOKUP(C4,Sheet2!A:N,12,0)</f>
        <v>21620</v>
      </c>
      <c r="N4" s="18">
        <f>VLOOKUP(C4,Sheet2!A:N,13,0)</f>
        <v>30</v>
      </c>
      <c r="O4" s="21">
        <f>VLOOKUP(C4,Sheet2!A:N,14,0)</f>
        <v>5571</v>
      </c>
    </row>
    <row r="5" spans="1:15" x14ac:dyDescent="0.25">
      <c r="A5" s="19" t="s">
        <v>420</v>
      </c>
      <c r="B5" s="18" t="str">
        <f t="shared" si="0"/>
        <v>اكت فاينانشال للاستشارات</v>
      </c>
      <c r="C5" s="18" t="str">
        <f>VLOOKUP(A5,Sheet1!C:F,2,0)</f>
        <v>اكت فاينانشال للاستشارات</v>
      </c>
      <c r="D5" s="18" t="s">
        <v>44</v>
      </c>
      <c r="E5" s="18">
        <f>VLOOKUP(C5,Sheet2!A:N,4,0)</f>
        <v>2.71</v>
      </c>
      <c r="F5" s="18">
        <f>VLOOKUP(C5,Sheet2!A:N,5,0)</f>
        <v>2.71</v>
      </c>
      <c r="G5" s="18">
        <f>VLOOKUP(C5,Sheet2!A:N,6,0)</f>
        <v>2.72</v>
      </c>
      <c r="H5" s="18">
        <f>VLOOKUP(C5,Sheet2!A:N,7,0)</f>
        <v>0.37</v>
      </c>
      <c r="I5" s="18">
        <f>VLOOKUP(C5,Sheet2!A:N,8,0)</f>
        <v>2.72</v>
      </c>
      <c r="J5" s="18">
        <f>VLOOKUP(C5,Sheet2!A:N,9,0)</f>
        <v>2.74</v>
      </c>
      <c r="K5" s="18">
        <f>VLOOKUP(C5,Sheet2!A:N,10,0)</f>
        <v>2.71</v>
      </c>
      <c r="L5" s="20">
        <f>VLOOKUP(C5,Sheet2!A:N,11,0)</f>
        <v>5141238.97</v>
      </c>
      <c r="M5" s="21">
        <f>VLOOKUP(C5,Sheet2!A:N,12,0)</f>
        <v>1887396</v>
      </c>
      <c r="N5" s="18">
        <f>VLOOKUP(C5,Sheet2!A:N,13,0)</f>
        <v>222</v>
      </c>
      <c r="O5" s="21">
        <f>VLOOKUP(C5,Sheet2!A:N,14,0)</f>
        <v>3108</v>
      </c>
    </row>
    <row r="6" spans="1:15" x14ac:dyDescent="0.25">
      <c r="A6" s="19" t="s">
        <v>496</v>
      </c>
      <c r="B6" s="18" t="str">
        <f t="shared" si="0"/>
        <v>أم بي للهندسةM.B</v>
      </c>
      <c r="C6" s="18" t="str">
        <f>VLOOKUP(A6,Sheet1!C:F,2,0)</f>
        <v>أم بي للهندسةM.B</v>
      </c>
      <c r="D6" s="18" t="s">
        <v>46</v>
      </c>
      <c r="E6" s="18">
        <f>VLOOKUP(C6,Sheet2!A:N,4,0)</f>
        <v>3.73</v>
      </c>
      <c r="F6" s="18">
        <f>VLOOKUP(C6,Sheet2!A:N,5,0)</f>
        <v>3.73</v>
      </c>
      <c r="G6" s="18">
        <f>VLOOKUP(C6,Sheet2!A:N,6,0)</f>
        <v>3.67</v>
      </c>
      <c r="H6" s="18">
        <f>VLOOKUP(C6,Sheet2!A:N,7,0)</f>
        <v>-1.61</v>
      </c>
      <c r="I6" s="18">
        <f>VLOOKUP(C6,Sheet2!A:N,8,0)</f>
        <v>3.67</v>
      </c>
      <c r="J6" s="18">
        <f>VLOOKUP(C6,Sheet2!A:N,9,0)</f>
        <v>3.75</v>
      </c>
      <c r="K6" s="18">
        <f>VLOOKUP(C6,Sheet2!A:N,10,0)</f>
        <v>3.66</v>
      </c>
      <c r="L6" s="20">
        <f>VLOOKUP(C6,Sheet2!A:N,11,0)</f>
        <v>1639457.78</v>
      </c>
      <c r="M6" s="21">
        <f>VLOOKUP(C6,Sheet2!A:N,12,0)</f>
        <v>443936</v>
      </c>
      <c r="N6" s="18">
        <f>VLOOKUP(C6,Sheet2!A:N,13,0)</f>
        <v>134</v>
      </c>
      <c r="O6" s="21">
        <f>VLOOKUP(C6,Sheet2!A:N,14,0)</f>
        <v>743</v>
      </c>
    </row>
    <row r="7" spans="1:15" x14ac:dyDescent="0.25">
      <c r="A7" s="19" t="s">
        <v>456</v>
      </c>
      <c r="B7" s="18" t="str">
        <f t="shared" si="0"/>
        <v>لوتس للتنمية والاستثمار الزراعى</v>
      </c>
      <c r="C7" s="18" t="str">
        <f>VLOOKUP(A7,Sheet1!C:F,2,0)</f>
        <v>لوتس للتنمية والاستثمار الزراعى</v>
      </c>
      <c r="D7" s="18" t="s">
        <v>48</v>
      </c>
      <c r="E7" s="18">
        <f>VLOOKUP(C7,Sheet2!A:N,4,0)</f>
        <v>0.752</v>
      </c>
      <c r="F7" s="18">
        <f>VLOOKUP(C7,Sheet2!A:N,5,0)</f>
        <v>0.752</v>
      </c>
      <c r="G7" s="18">
        <f>VLOOKUP(C7,Sheet2!A:N,6,0)</f>
        <v>0.73699999999999999</v>
      </c>
      <c r="H7" s="18">
        <f>VLOOKUP(C7,Sheet2!A:N,7,0)</f>
        <v>-1.99</v>
      </c>
      <c r="I7" s="18">
        <f>VLOOKUP(C7,Sheet2!A:N,8,0)</f>
        <v>0.73699999999999999</v>
      </c>
      <c r="J7" s="18">
        <f>VLOOKUP(C7,Sheet2!A:N,9,0)</f>
        <v>0.77100000000000002</v>
      </c>
      <c r="K7" s="18">
        <f>VLOOKUP(C7,Sheet2!A:N,10,0)</f>
        <v>0.73199999999999998</v>
      </c>
      <c r="L7" s="20">
        <f>VLOOKUP(C7,Sheet2!A:N,11,0)</f>
        <v>52499263.009999998</v>
      </c>
      <c r="M7" s="21">
        <f>VLOOKUP(C7,Sheet2!A:N,12,0)</f>
        <v>70138166</v>
      </c>
      <c r="N7" s="18">
        <f>VLOOKUP(C7,Sheet2!A:N,13,0)</f>
        <v>1698</v>
      </c>
      <c r="O7" s="21">
        <f>VLOOKUP(C7,Sheet2!A:N,14,0)</f>
        <v>774</v>
      </c>
    </row>
    <row r="8" spans="1:15" x14ac:dyDescent="0.25">
      <c r="A8" s="19" t="s">
        <v>321</v>
      </c>
      <c r="B8" s="18" t="str">
        <f t="shared" si="0"/>
        <v>المصرف المتحد</v>
      </c>
      <c r="C8" s="18" t="str">
        <f>VLOOKUP(A8,Sheet1!C:F,2,0)</f>
        <v>المصرف المتحد</v>
      </c>
      <c r="D8" s="18" t="s">
        <v>49</v>
      </c>
      <c r="E8" s="18">
        <f>VLOOKUP(C8,Sheet2!A:N,4,0)</f>
        <v>13.92</v>
      </c>
      <c r="F8" s="18">
        <f>VLOOKUP(C8,Sheet2!A:N,5,0)</f>
        <v>13.92</v>
      </c>
      <c r="G8" s="18">
        <f>VLOOKUP(C8,Sheet2!A:N,6,0)</f>
        <v>13.93</v>
      </c>
      <c r="H8" s="18">
        <f>VLOOKUP(C8,Sheet2!A:N,7,0)</f>
        <v>7.0000000000000007E-2</v>
      </c>
      <c r="I8" s="18">
        <f>VLOOKUP(C8,Sheet2!A:N,8,0)</f>
        <v>13.93</v>
      </c>
      <c r="J8" s="18">
        <f>VLOOKUP(C8,Sheet2!A:N,9,0)</f>
        <v>14.1</v>
      </c>
      <c r="K8" s="18">
        <f>VLOOKUP(C8,Sheet2!A:N,10,0)</f>
        <v>13.92</v>
      </c>
      <c r="L8" s="20">
        <f>VLOOKUP(C8,Sheet2!A:N,11,0)</f>
        <v>4345580.9400000004</v>
      </c>
      <c r="M8" s="21">
        <f>VLOOKUP(C8,Sheet2!A:N,12,0)</f>
        <v>310858</v>
      </c>
      <c r="N8" s="18">
        <f>VLOOKUP(C8,Sheet2!A:N,13,0)</f>
        <v>199</v>
      </c>
      <c r="O8" s="21">
        <f>VLOOKUP(C8,Sheet2!A:N,14,0)</f>
        <v>15323</v>
      </c>
    </row>
    <row r="9" spans="1:15" x14ac:dyDescent="0.25">
      <c r="A9" s="19" t="s">
        <v>583</v>
      </c>
      <c r="B9" s="18" t="str">
        <f t="shared" si="0"/>
        <v>ارابيا للاستثمار والتنمية</v>
      </c>
      <c r="C9" s="18" t="str">
        <f>VLOOKUP(A9,Sheet1!C:F,2,0)</f>
        <v>ارابيا للاستثمار والتنمية</v>
      </c>
      <c r="D9" s="18" t="s">
        <v>44</v>
      </c>
      <c r="E9" s="18">
        <f>VLOOKUP(C9,Sheet2!A:N,4,0)</f>
        <v>0.67700000000000005</v>
      </c>
      <c r="F9" s="18">
        <f>VLOOKUP(C9,Sheet2!A:N,5,0)</f>
        <v>0.67700000000000005</v>
      </c>
      <c r="G9" s="18">
        <f>VLOOKUP(C9,Sheet2!A:N,6,0)</f>
        <v>0.66</v>
      </c>
      <c r="H9" s="18">
        <f>VLOOKUP(C9,Sheet2!A:N,7,0)</f>
        <v>-2.5099999999999998</v>
      </c>
      <c r="I9" s="18">
        <f>VLOOKUP(C9,Sheet2!A:N,8,0)</f>
        <v>0.66</v>
      </c>
      <c r="J9" s="18">
        <f>VLOOKUP(C9,Sheet2!A:N,9,0)</f>
        <v>0.68600000000000005</v>
      </c>
      <c r="K9" s="18">
        <f>VLOOKUP(C9,Sheet2!A:N,10,0)</f>
        <v>0.65400000000000003</v>
      </c>
      <c r="L9" s="20">
        <f>VLOOKUP(C9,Sheet2!A:N,11,0)</f>
        <v>8992505.3200000003</v>
      </c>
      <c r="M9" s="21">
        <f>VLOOKUP(C9,Sheet2!A:N,12,0)</f>
        <v>13410501</v>
      </c>
      <c r="N9" s="18">
        <f>VLOOKUP(C9,Sheet2!A:N,13,0)</f>
        <v>339</v>
      </c>
      <c r="O9" s="21">
        <f>VLOOKUP(C9,Sheet2!A:N,14,0)</f>
        <v>1028</v>
      </c>
    </row>
    <row r="10" spans="1:15" x14ac:dyDescent="0.25">
      <c r="A10" s="19" t="s">
        <v>582</v>
      </c>
      <c r="B10" s="18" t="str">
        <f t="shared" si="0"/>
        <v>بريميم هيلثكير جروب</v>
      </c>
      <c r="C10" s="18" t="str">
        <f>VLOOKUP(A10,Sheet1!C:F,2,0)</f>
        <v>بريميم هيلثكير جروب</v>
      </c>
      <c r="D10" s="18" t="s">
        <v>51</v>
      </c>
      <c r="E10" s="18">
        <f>VLOOKUP(C10,Sheet2!A:N,4,0)</f>
        <v>9.1999999999999998E-2</v>
      </c>
      <c r="F10" s="18">
        <f>VLOOKUP(C10,Sheet2!A:N,5,0)</f>
        <v>9.1999999999999998E-2</v>
      </c>
      <c r="G10" s="18">
        <f>VLOOKUP(C10,Sheet2!A:N,6,0)</f>
        <v>0.09</v>
      </c>
      <c r="H10" s="18">
        <f>VLOOKUP(C10,Sheet2!A:N,7,0)</f>
        <v>-2.17</v>
      </c>
      <c r="I10" s="18">
        <f>VLOOKUP(C10,Sheet2!A:N,8,0)</f>
        <v>0.09</v>
      </c>
      <c r="J10" s="18">
        <f>VLOOKUP(C10,Sheet2!A:N,9,0)</f>
        <v>9.4E-2</v>
      </c>
      <c r="K10" s="18">
        <f>VLOOKUP(C10,Sheet2!A:N,10,0)</f>
        <v>0.09</v>
      </c>
      <c r="L10" s="20">
        <f>VLOOKUP(C10,Sheet2!A:N,11,0)</f>
        <v>28937461.649999999</v>
      </c>
      <c r="M10" s="21">
        <f>VLOOKUP(C10,Sheet2!A:N,12,0)</f>
        <v>317498763</v>
      </c>
      <c r="N10" s="18">
        <f>VLOOKUP(C10,Sheet2!A:N,13,0)</f>
        <v>785</v>
      </c>
      <c r="O10" s="21">
        <f>VLOOKUP(C10,Sheet2!A:N,14,0)</f>
        <v>2127</v>
      </c>
    </row>
    <row r="11" spans="1:15" x14ac:dyDescent="0.25">
      <c r="A11" s="19" t="s">
        <v>370</v>
      </c>
      <c r="B11" s="18" t="str">
        <f t="shared" si="0"/>
        <v>بنيان للتنمية والتجارة</v>
      </c>
      <c r="C11" s="18" t="str">
        <f>VLOOKUP(A11,Sheet1!C:F,2,0)</f>
        <v>بنيان للتنمية والتجارة</v>
      </c>
      <c r="D11" s="18" t="s">
        <v>40</v>
      </c>
      <c r="E11" s="18">
        <f>VLOOKUP(C11,Sheet2!A:N,4,0)</f>
        <v>5.26</v>
      </c>
      <c r="F11" s="18">
        <f>VLOOKUP(C11,Sheet2!A:N,5,0)</f>
        <v>5.26</v>
      </c>
      <c r="G11" s="18">
        <f>VLOOKUP(C11,Sheet2!A:N,6,0)</f>
        <v>5.35</v>
      </c>
      <c r="H11" s="18">
        <f>VLOOKUP(C11,Sheet2!A:N,7,0)</f>
        <v>1.71</v>
      </c>
      <c r="I11" s="18">
        <f>VLOOKUP(C11,Sheet2!A:N,8,0)</f>
        <v>5.35</v>
      </c>
      <c r="J11" s="18">
        <f>VLOOKUP(C11,Sheet2!A:N,9,0)</f>
        <v>5.48</v>
      </c>
      <c r="K11" s="18">
        <f>VLOOKUP(C11,Sheet2!A:N,10,0)</f>
        <v>5.15</v>
      </c>
      <c r="L11" s="20">
        <f>VLOOKUP(C11,Sheet2!A:N,11,0)</f>
        <v>159145898.75</v>
      </c>
      <c r="M11" s="21">
        <f>VLOOKUP(C11,Sheet2!A:N,12,0)</f>
        <v>30328220</v>
      </c>
      <c r="N11" s="18">
        <f>VLOOKUP(C11,Sheet2!A:N,13,0)</f>
        <v>1833</v>
      </c>
      <c r="O11" s="21">
        <f>VLOOKUP(C11,Sheet2!A:N,14,0)</f>
        <v>9119</v>
      </c>
    </row>
    <row r="12" spans="1:15" x14ac:dyDescent="0.25">
      <c r="A12" s="19" t="s">
        <v>500</v>
      </c>
      <c r="B12" s="18" t="str">
        <f t="shared" si="0"/>
        <v>الدولية للأسمدة والكيماويات</v>
      </c>
      <c r="C12" s="18" t="str">
        <f>VLOOKUP(A12,Sheet1!C:F,2,0)</f>
        <v>الدولية للأسمدة والكيماويات</v>
      </c>
      <c r="D12" s="18" t="s">
        <v>54</v>
      </c>
      <c r="E12" s="18">
        <f>VLOOKUP(C12,Sheet2!A:N,4,0)</f>
        <v>15.05</v>
      </c>
      <c r="F12" s="18">
        <f>VLOOKUP(C12,Sheet2!A:N,5,0)</f>
        <v>15.05</v>
      </c>
      <c r="G12" s="18">
        <f>VLOOKUP(C12,Sheet2!A:N,6,0)</f>
        <v>15.14</v>
      </c>
      <c r="H12" s="18">
        <f>VLOOKUP(C12,Sheet2!A:N,7,0)</f>
        <v>0.6</v>
      </c>
      <c r="I12" s="18">
        <f>VLOOKUP(C12,Sheet2!A:N,8,0)</f>
        <v>15.14</v>
      </c>
      <c r="J12" s="18">
        <f>VLOOKUP(C12,Sheet2!A:N,9,0)</f>
        <v>15.21</v>
      </c>
      <c r="K12" s="18">
        <f>VLOOKUP(C12,Sheet2!A:N,10,0)</f>
        <v>15.01</v>
      </c>
      <c r="L12" s="20">
        <f>VLOOKUP(C12,Sheet2!A:N,11,0)</f>
        <v>2813156.81</v>
      </c>
      <c r="M12" s="21">
        <f>VLOOKUP(C12,Sheet2!A:N,12,0)</f>
        <v>186499</v>
      </c>
      <c r="N12" s="18">
        <f>VLOOKUP(C12,Sheet2!A:N,13,0)</f>
        <v>180</v>
      </c>
      <c r="O12" s="21">
        <f>VLOOKUP(C12,Sheet2!A:N,14,0)</f>
        <v>1768</v>
      </c>
    </row>
    <row r="13" spans="1:15" x14ac:dyDescent="0.25">
      <c r="A13" s="19" t="s">
        <v>579</v>
      </c>
      <c r="B13" s="18" t="str">
        <f t="shared" si="0"/>
        <v>جورميه ايجيبت دوت كوم للاغذية</v>
      </c>
      <c r="C13" s="18" t="str">
        <f>VLOOKUP(A13,Sheet1!C:F,2,0)</f>
        <v>جورميه ايجيبت دوت كوم للاغذية</v>
      </c>
      <c r="D13" s="18" t="s">
        <v>54</v>
      </c>
      <c r="E13" s="18">
        <f>VLOOKUP(C13,Sheet2!A:N,4,0)</f>
        <v>12.79</v>
      </c>
      <c r="F13" s="18">
        <f>VLOOKUP(C13,Sheet2!A:N,5,0)</f>
        <v>12.79</v>
      </c>
      <c r="G13" s="18">
        <f>VLOOKUP(C13,Sheet2!A:N,6,0)</f>
        <v>12.7</v>
      </c>
      <c r="H13" s="18">
        <f>VLOOKUP(C13,Sheet2!A:N,7,0)</f>
        <v>-0.7</v>
      </c>
      <c r="I13" s="18">
        <f>VLOOKUP(C13,Sheet2!A:N,8,0)</f>
        <v>12.7</v>
      </c>
      <c r="J13" s="18">
        <f>VLOOKUP(C13,Sheet2!A:N,9,0)</f>
        <v>12.88</v>
      </c>
      <c r="K13" s="18">
        <f>VLOOKUP(C13,Sheet2!A:N,10,0)</f>
        <v>12.6</v>
      </c>
      <c r="L13" s="20">
        <f>VLOOKUP(C13,Sheet2!A:N,11,0)</f>
        <v>28203630.050000001</v>
      </c>
      <c r="M13" s="21">
        <f>VLOOKUP(C13,Sheet2!A:N,12,0)</f>
        <v>2230803</v>
      </c>
      <c r="N13" s="18">
        <f>VLOOKUP(C13,Sheet2!A:N,13,0)</f>
        <v>529</v>
      </c>
      <c r="O13" s="21">
        <f>VLOOKUP(C13,Sheet2!A:N,14,0)</f>
        <v>5080</v>
      </c>
    </row>
    <row r="14" spans="1:15" x14ac:dyDescent="0.25">
      <c r="A14" s="19" t="s">
        <v>554</v>
      </c>
      <c r="B14" s="18" t="str">
        <f t="shared" si="0"/>
        <v>العالمية للاستثمار والتنمية</v>
      </c>
      <c r="C14" s="18" t="str">
        <f>VLOOKUP(A14,Sheet1!C:F,2,0)</f>
        <v>العالمية للاستثمار والتنمية</v>
      </c>
      <c r="D14" s="18" t="s">
        <v>40</v>
      </c>
      <c r="E14" s="18">
        <f>VLOOKUP(C14,Sheet2!A:N,4,0)</f>
        <v>7</v>
      </c>
      <c r="F14" s="18">
        <f>VLOOKUP(C14,Sheet2!A:N,5,0)</f>
        <v>7</v>
      </c>
      <c r="G14" s="18">
        <f>VLOOKUP(C14,Sheet2!A:N,6,0)</f>
        <v>7.17</v>
      </c>
      <c r="H14" s="18">
        <f>VLOOKUP(C14,Sheet2!A:N,7,0)</f>
        <v>2.4300000000000002</v>
      </c>
      <c r="I14" s="18">
        <f>VLOOKUP(C14,Sheet2!A:N,8,0)</f>
        <v>7.17</v>
      </c>
      <c r="J14" s="18">
        <f>VLOOKUP(C14,Sheet2!A:N,9,0)</f>
        <v>7.17</v>
      </c>
      <c r="K14" s="18">
        <f>VLOOKUP(C14,Sheet2!A:N,10,0)</f>
        <v>6.91</v>
      </c>
      <c r="L14" s="20">
        <f>VLOOKUP(C14,Sheet2!A:N,11,0)</f>
        <v>5093558.93</v>
      </c>
      <c r="M14" s="21">
        <f>VLOOKUP(C14,Sheet2!A:N,12,0)</f>
        <v>720959</v>
      </c>
      <c r="N14" s="18">
        <f>VLOOKUP(C14,Sheet2!A:N,13,0)</f>
        <v>175</v>
      </c>
      <c r="O14" s="21">
        <f>VLOOKUP(C14,Sheet2!A:N,14,0)</f>
        <v>717</v>
      </c>
    </row>
    <row r="15" spans="1:15" x14ac:dyDescent="0.25">
      <c r="A15" s="19" t="s">
        <v>315</v>
      </c>
      <c r="B15" s="18" t="str">
        <f t="shared" si="0"/>
        <v>ام.ام جروب للصناعة والتجارة العالمية</v>
      </c>
      <c r="C15" s="18" t="str">
        <f>VLOOKUP(A15,Sheet1!C:F,2,0)</f>
        <v>ام.ام جروب للصناعة والتجارة العالمية</v>
      </c>
      <c r="D15" s="18" t="s">
        <v>54</v>
      </c>
      <c r="E15" s="18">
        <f>VLOOKUP(C15,Sheet2!A:N,4,0)</f>
        <v>9.23</v>
      </c>
      <c r="F15" s="18">
        <f>VLOOKUP(C15,Sheet2!A:N,5,0)</f>
        <v>9.23</v>
      </c>
      <c r="G15" s="18">
        <f>VLOOKUP(C15,Sheet2!A:N,6,0)</f>
        <v>9.25</v>
      </c>
      <c r="H15" s="18">
        <f>VLOOKUP(C15,Sheet2!A:N,7,0)</f>
        <v>0.22</v>
      </c>
      <c r="I15" s="18">
        <f>VLOOKUP(C15,Sheet2!A:N,8,0)</f>
        <v>9.25</v>
      </c>
      <c r="J15" s="18">
        <f>VLOOKUP(C15,Sheet2!A:N,9,0)</f>
        <v>9.6</v>
      </c>
      <c r="K15" s="18">
        <f>VLOOKUP(C15,Sheet2!A:N,10,0)</f>
        <v>9.18</v>
      </c>
      <c r="L15" s="20">
        <f>VLOOKUP(C15,Sheet2!A:N,11,0)</f>
        <v>71459170.75</v>
      </c>
      <c r="M15" s="21">
        <f>VLOOKUP(C15,Sheet2!A:N,12,0)</f>
        <v>7572327</v>
      </c>
      <c r="N15" s="18">
        <f>VLOOKUP(C15,Sheet2!A:N,13,0)</f>
        <v>2416</v>
      </c>
      <c r="O15" s="21">
        <f>VLOOKUP(C15,Sheet2!A:N,14,0)</f>
        <v>17467</v>
      </c>
    </row>
    <row r="16" spans="1:15" x14ac:dyDescent="0.25">
      <c r="A16" s="19" t="s">
        <v>495</v>
      </c>
      <c r="B16" s="18" t="str">
        <f t="shared" si="0"/>
        <v>ديجيتايز للاستثمار والتقنية</v>
      </c>
      <c r="C16" s="18" t="str">
        <f>VLOOKUP(A16,Sheet1!C:F,2,0)</f>
        <v>ديجيتايز للاستثمار والتقنية</v>
      </c>
      <c r="D16" s="18" t="s">
        <v>59</v>
      </c>
      <c r="E16" s="18">
        <f>VLOOKUP(C16,Sheet2!A:N,4,0)</f>
        <v>2.62</v>
      </c>
      <c r="F16" s="18">
        <f>VLOOKUP(C16,Sheet2!A:N,5,0)</f>
        <v>2.62</v>
      </c>
      <c r="G16" s="18">
        <f>VLOOKUP(C16,Sheet2!A:N,6,0)</f>
        <v>2.62</v>
      </c>
      <c r="H16" s="18">
        <f>VLOOKUP(C16,Sheet2!A:N,7,0)</f>
        <v>0</v>
      </c>
      <c r="I16" s="18">
        <f>VLOOKUP(C16,Sheet2!A:N,8,0)</f>
        <v>2.63</v>
      </c>
      <c r="J16" s="18">
        <f>VLOOKUP(C16,Sheet2!A:N,9,0)</f>
        <v>2.66</v>
      </c>
      <c r="K16" s="18">
        <f>VLOOKUP(C16,Sheet2!A:N,10,0)</f>
        <v>2.61</v>
      </c>
      <c r="L16" s="20">
        <f>VLOOKUP(C16,Sheet2!A:N,11,0)</f>
        <v>1194471.1200000001</v>
      </c>
      <c r="M16" s="21">
        <f>VLOOKUP(C16,Sheet2!A:N,12,0)</f>
        <v>454252</v>
      </c>
      <c r="N16" s="18">
        <f>VLOOKUP(C16,Sheet2!A:N,13,0)</f>
        <v>151</v>
      </c>
      <c r="O16" s="21">
        <f>VLOOKUP(C16,Sheet2!A:N,14,0)</f>
        <v>283</v>
      </c>
    </row>
    <row r="17" spans="1:15" x14ac:dyDescent="0.25">
      <c r="A17" s="19" t="s">
        <v>580</v>
      </c>
      <c r="B17" s="18" t="str">
        <f t="shared" si="0"/>
        <v>فيركيم مصر للاسمدة والكيماويات</v>
      </c>
      <c r="C17" s="18" t="str">
        <f>VLOOKUP(A17,Sheet1!C:F,2,0)</f>
        <v>فيركيم مصر للاسمدة والكيماويات</v>
      </c>
      <c r="D17" s="18" t="s">
        <v>61</v>
      </c>
      <c r="E17" s="18">
        <f>VLOOKUP(C17,Sheet2!A:N,4,0)</f>
        <v>76</v>
      </c>
      <c r="F17" s="18">
        <f>VLOOKUP(C17,Sheet2!A:N,5,0)</f>
        <v>76</v>
      </c>
      <c r="G17" s="18">
        <f>VLOOKUP(C17,Sheet2!A:N,6,0)</f>
        <v>75.38</v>
      </c>
      <c r="H17" s="18">
        <f>VLOOKUP(C17,Sheet2!A:N,7,0)</f>
        <v>-0.82</v>
      </c>
      <c r="I17" s="18">
        <f>VLOOKUP(C17,Sheet2!A:N,8,0)</f>
        <v>75.38</v>
      </c>
      <c r="J17" s="18">
        <f>VLOOKUP(C17,Sheet2!A:N,9,0)</f>
        <v>76.59</v>
      </c>
      <c r="K17" s="18">
        <f>VLOOKUP(C17,Sheet2!A:N,10,0)</f>
        <v>75.34</v>
      </c>
      <c r="L17" s="20">
        <f>VLOOKUP(C17,Sheet2!A:N,11,0)</f>
        <v>4375087.72</v>
      </c>
      <c r="M17" s="21">
        <f>VLOOKUP(C17,Sheet2!A:N,12,0)</f>
        <v>57890</v>
      </c>
      <c r="N17" s="18">
        <f>VLOOKUP(C17,Sheet2!A:N,13,0)</f>
        <v>196</v>
      </c>
      <c r="O17" s="21">
        <f>VLOOKUP(C17,Sheet2!A:N,14,0)</f>
        <v>30152</v>
      </c>
    </row>
    <row r="18" spans="1:15" x14ac:dyDescent="0.25">
      <c r="A18" s="19" t="s">
        <v>293</v>
      </c>
      <c r="B18" s="18" t="str">
        <f t="shared" si="0"/>
        <v>يو للتمويل الاستهلاكى</v>
      </c>
      <c r="C18" s="18" t="str">
        <f>VLOOKUP(A18,Sheet1!C:F,2,0)</f>
        <v>يو للتمويل الاستهلاكى</v>
      </c>
      <c r="D18" s="18" t="s">
        <v>44</v>
      </c>
      <c r="E18" s="18">
        <f>VLOOKUP(C18,Sheet2!A:N,4,0)</f>
        <v>11.64</v>
      </c>
      <c r="F18" s="18">
        <f>VLOOKUP(C18,Sheet2!A:N,5,0)</f>
        <v>11.64</v>
      </c>
      <c r="G18" s="18">
        <f>VLOOKUP(C18,Sheet2!A:N,6,0)</f>
        <v>11.92</v>
      </c>
      <c r="H18" s="18">
        <f>VLOOKUP(C18,Sheet2!A:N,7,0)</f>
        <v>2.41</v>
      </c>
      <c r="I18" s="18">
        <f>VLOOKUP(C18,Sheet2!A:N,8,0)</f>
        <v>11.92</v>
      </c>
      <c r="J18" s="18">
        <f>VLOOKUP(C18,Sheet2!A:N,9,0)</f>
        <v>12</v>
      </c>
      <c r="K18" s="18">
        <f>VLOOKUP(C18,Sheet2!A:N,10,0)</f>
        <v>11.58</v>
      </c>
      <c r="L18" s="20">
        <f>VLOOKUP(C18,Sheet2!A:N,11,0)</f>
        <v>88472462.599999994</v>
      </c>
      <c r="M18" s="21">
        <f>VLOOKUP(C18,Sheet2!A:N,12,0)</f>
        <v>7402221</v>
      </c>
      <c r="N18" s="18">
        <f>VLOOKUP(C18,Sheet2!A:N,13,0)</f>
        <v>1188</v>
      </c>
      <c r="O18" s="21">
        <f>VLOOKUP(C18,Sheet2!A:N,14,0)</f>
        <v>25108</v>
      </c>
    </row>
    <row r="19" spans="1:15" x14ac:dyDescent="0.25">
      <c r="A19" s="19" t="s">
        <v>498</v>
      </c>
      <c r="B19" s="18" t="str">
        <f t="shared" si="0"/>
        <v>جو جرين للاستثمار الزراعى والتنمية</v>
      </c>
      <c r="C19" s="18" t="str">
        <f>VLOOKUP(A19,Sheet1!C:F,2,0)</f>
        <v>جو جرين للاستثمار الزراعى والتنمية</v>
      </c>
      <c r="D19" s="18" t="s">
        <v>48</v>
      </c>
      <c r="E19" s="18">
        <f>VLOOKUP(C19,Sheet2!A:N,4,0)</f>
        <v>1.49</v>
      </c>
      <c r="F19" s="18">
        <f>VLOOKUP(C19,Sheet2!A:N,5,0)</f>
        <v>1.49</v>
      </c>
      <c r="G19" s="18">
        <f>VLOOKUP(C19,Sheet2!A:N,6,0)</f>
        <v>1.49</v>
      </c>
      <c r="H19" s="18">
        <f>VLOOKUP(C19,Sheet2!A:N,7,0)</f>
        <v>0</v>
      </c>
      <c r="I19" s="18">
        <f>VLOOKUP(C19,Sheet2!A:N,8,0)</f>
        <v>1.49</v>
      </c>
      <c r="J19" s="18">
        <f>VLOOKUP(C19,Sheet2!A:N,9,0)</f>
        <v>1.52</v>
      </c>
      <c r="K19" s="18">
        <f>VLOOKUP(C19,Sheet2!A:N,10,0)</f>
        <v>1.48</v>
      </c>
      <c r="L19" s="20">
        <f>VLOOKUP(C19,Sheet2!A:N,11,0)</f>
        <v>21330842.510000002</v>
      </c>
      <c r="M19" s="21">
        <f>VLOOKUP(C19,Sheet2!A:N,12,0)</f>
        <v>14288808</v>
      </c>
      <c r="N19" s="18">
        <f>VLOOKUP(C19,Sheet2!A:N,13,0)</f>
        <v>789</v>
      </c>
      <c r="O19" s="21">
        <f>VLOOKUP(C19,Sheet2!A:N,14,0)</f>
        <v>2086</v>
      </c>
    </row>
    <row r="20" spans="1:15" x14ac:dyDescent="0.25">
      <c r="A20" s="19" t="s">
        <v>250</v>
      </c>
      <c r="B20" s="18" t="str">
        <f t="shared" si="0"/>
        <v>اي فاينانس للاستثمارات المالية والرقمية</v>
      </c>
      <c r="C20" s="18" t="str">
        <f>VLOOKUP(A20,Sheet1!C:F,2,0)</f>
        <v>اي فاينانس للاستثمارات المالية والرقمية</v>
      </c>
      <c r="D20" s="18" t="s">
        <v>59</v>
      </c>
      <c r="E20" s="18">
        <f>VLOOKUP(C20,Sheet2!A:N,4,0)</f>
        <v>21.58</v>
      </c>
      <c r="F20" s="18">
        <f>VLOOKUP(C20,Sheet2!A:N,5,0)</f>
        <v>21.58</v>
      </c>
      <c r="G20" s="18">
        <f>VLOOKUP(C20,Sheet2!A:N,6,0)</f>
        <v>21</v>
      </c>
      <c r="H20" s="18">
        <f>VLOOKUP(C20,Sheet2!A:N,7,0)</f>
        <v>-2.69</v>
      </c>
      <c r="I20" s="18">
        <f>VLOOKUP(C20,Sheet2!A:N,8,0)</f>
        <v>21</v>
      </c>
      <c r="J20" s="18">
        <f>VLOOKUP(C20,Sheet2!A:N,9,0)</f>
        <v>21.58</v>
      </c>
      <c r="K20" s="18">
        <f>VLOOKUP(C20,Sheet2!A:N,10,0)</f>
        <v>20.96</v>
      </c>
      <c r="L20" s="20">
        <f>VLOOKUP(C20,Sheet2!A:N,11,0)</f>
        <v>27682922.050000001</v>
      </c>
      <c r="M20" s="21">
        <f>VLOOKUP(C20,Sheet2!A:N,12,0)</f>
        <v>1308796</v>
      </c>
      <c r="N20" s="18">
        <f>VLOOKUP(C20,Sheet2!A:N,13,0)</f>
        <v>1289</v>
      </c>
      <c r="O20" s="21">
        <f>VLOOKUP(C20,Sheet2!A:N,14,0)</f>
        <v>72800</v>
      </c>
    </row>
    <row r="21" spans="1:15" x14ac:dyDescent="0.25">
      <c r="A21" s="19" t="s">
        <v>450</v>
      </c>
      <c r="B21" s="18" t="str">
        <f t="shared" si="0"/>
        <v>مرسيليا المصرية الخليجية للاستثمار العقارى</v>
      </c>
      <c r="C21" s="18" t="str">
        <f>VLOOKUP(A21,Sheet1!C:F,2,0)</f>
        <v>مرسيليا المصرية الخليجية للاستثمار العقارى</v>
      </c>
      <c r="D21" s="18" t="s">
        <v>40</v>
      </c>
      <c r="E21" s="18">
        <f>VLOOKUP(C21,Sheet2!A:N,4,0)</f>
        <v>5.79</v>
      </c>
      <c r="F21" s="18">
        <f>VLOOKUP(C21,Sheet2!A:N,5,0)</f>
        <v>5.79</v>
      </c>
      <c r="G21" s="18">
        <f>VLOOKUP(C21,Sheet2!A:N,6,0)</f>
        <v>6.25</v>
      </c>
      <c r="H21" s="18">
        <f>VLOOKUP(C21,Sheet2!A:N,7,0)</f>
        <v>7.94</v>
      </c>
      <c r="I21" s="18">
        <f>VLOOKUP(C21,Sheet2!A:N,8,0)</f>
        <v>6.25</v>
      </c>
      <c r="J21" s="18">
        <f>VLOOKUP(C21,Sheet2!A:N,9,0)</f>
        <v>6.3</v>
      </c>
      <c r="K21" s="18">
        <f>VLOOKUP(C21,Sheet2!A:N,10,0)</f>
        <v>5.82</v>
      </c>
      <c r="L21" s="20">
        <f>VLOOKUP(C21,Sheet2!A:N,11,0)</f>
        <v>23033314.579999998</v>
      </c>
      <c r="M21" s="21">
        <f>VLOOKUP(C21,Sheet2!A:N,12,0)</f>
        <v>3763365</v>
      </c>
      <c r="N21" s="18">
        <f>VLOOKUP(C21,Sheet2!A:N,13,0)</f>
        <v>630</v>
      </c>
      <c r="O21" s="21">
        <f>VLOOKUP(C21,Sheet2!A:N,14,0)</f>
        <v>1298</v>
      </c>
    </row>
    <row r="22" spans="1:15" x14ac:dyDescent="0.25">
      <c r="A22" s="19" t="s">
        <v>502</v>
      </c>
      <c r="B22" s="18" t="str">
        <f t="shared" si="0"/>
        <v>شارم دريمز للاستثمار السياحى</v>
      </c>
      <c r="C22" s="18" t="str">
        <f>VLOOKUP(A22,Sheet1!C:F,2,0)</f>
        <v>شارم دريمز للاستثمار السياحى</v>
      </c>
      <c r="D22" s="18" t="s">
        <v>67</v>
      </c>
      <c r="E22" s="18">
        <f>VLOOKUP(C22,Sheet2!A:N,4,0)</f>
        <v>46.96</v>
      </c>
      <c r="F22" s="18">
        <f>VLOOKUP(C22,Sheet2!A:N,5,0)</f>
        <v>46.96</v>
      </c>
      <c r="G22" s="18">
        <f>VLOOKUP(C22,Sheet2!A:N,6,0)</f>
        <v>46.94</v>
      </c>
      <c r="H22" s="18">
        <f>VLOOKUP(C22,Sheet2!A:N,7,0)</f>
        <v>-0.04</v>
      </c>
      <c r="I22" s="18">
        <f>VLOOKUP(C22,Sheet2!A:N,8,0)</f>
        <v>46.94</v>
      </c>
      <c r="J22" s="18">
        <f>VLOOKUP(C22,Sheet2!A:N,9,0)</f>
        <v>47.74</v>
      </c>
      <c r="K22" s="18">
        <f>VLOOKUP(C22,Sheet2!A:N,10,0)</f>
        <v>46.31</v>
      </c>
      <c r="L22" s="20">
        <f>VLOOKUP(C22,Sheet2!A:N,11,0)</f>
        <v>3627903.53</v>
      </c>
      <c r="M22" s="21">
        <f>VLOOKUP(C22,Sheet2!A:N,12,0)</f>
        <v>77143</v>
      </c>
      <c r="N22" s="18">
        <f>VLOOKUP(C22,Sheet2!A:N,13,0)</f>
        <v>122</v>
      </c>
      <c r="O22" s="21">
        <f>VLOOKUP(C22,Sheet2!A:N,14,0)</f>
        <v>2487</v>
      </c>
    </row>
    <row r="23" spans="1:15" x14ac:dyDescent="0.25">
      <c r="A23" s="19" t="s">
        <v>504</v>
      </c>
      <c r="B23" s="18" t="str">
        <f t="shared" si="0"/>
        <v>الاسماعيلية الوطنية للصناعات الغذائية (فوديكو)</v>
      </c>
      <c r="C23" s="18" t="str">
        <f>VLOOKUP(A23,Sheet1!C:F,2,0)</f>
        <v>الاسماعيلية الوطنية للصناعات الغذائية (فوديكو)</v>
      </c>
      <c r="D23" s="18" t="s">
        <v>48</v>
      </c>
      <c r="E23" s="18">
        <f>VLOOKUP(C23,Sheet2!A:N,4,0)</f>
        <v>98.25</v>
      </c>
      <c r="F23" s="18">
        <f>VLOOKUP(C23,Sheet2!A:N,5,0)</f>
        <v>98.25</v>
      </c>
      <c r="G23" s="18">
        <f>VLOOKUP(C23,Sheet2!A:N,6,0)</f>
        <v>98.53</v>
      </c>
      <c r="H23" s="18">
        <f>VLOOKUP(C23,Sheet2!A:N,7,0)</f>
        <v>0.28000000000000003</v>
      </c>
      <c r="I23" s="18">
        <f>VLOOKUP(C23,Sheet2!A:N,8,0)</f>
        <v>98.53</v>
      </c>
      <c r="J23" s="18">
        <f>VLOOKUP(C23,Sheet2!A:N,9,0)</f>
        <v>99.3</v>
      </c>
      <c r="K23" s="18">
        <f>VLOOKUP(C23,Sheet2!A:N,10,0)</f>
        <v>98.01</v>
      </c>
      <c r="L23" s="20">
        <f>VLOOKUP(C23,Sheet2!A:N,11,0)</f>
        <v>2557484.2200000002</v>
      </c>
      <c r="M23" s="21">
        <f>VLOOKUP(C23,Sheet2!A:N,12,0)</f>
        <v>25955</v>
      </c>
      <c r="N23" s="18">
        <f>VLOOKUP(C23,Sheet2!A:N,13,0)</f>
        <v>123</v>
      </c>
      <c r="O23" s="21">
        <f>VLOOKUP(C23,Sheet2!A:N,14,0)</f>
        <v>2007</v>
      </c>
    </row>
    <row r="24" spans="1:15" x14ac:dyDescent="0.25">
      <c r="A24" s="19" t="s">
        <v>322</v>
      </c>
      <c r="B24" s="18" t="str">
        <f t="shared" si="0"/>
        <v>القاهرة للدواجن</v>
      </c>
      <c r="C24" s="18" t="str">
        <f>VLOOKUP(A24,Sheet1!C:F,2,0)</f>
        <v>القاهرة للدواجن</v>
      </c>
      <c r="D24" s="18" t="s">
        <v>48</v>
      </c>
      <c r="E24" s="18">
        <f>VLOOKUP(C24,Sheet2!A:N,4,0)</f>
        <v>36.6</v>
      </c>
      <c r="F24" s="18">
        <f>VLOOKUP(C24,Sheet2!A:N,5,0)</f>
        <v>36.6</v>
      </c>
      <c r="G24" s="18">
        <f>VLOOKUP(C24,Sheet2!A:N,6,0)</f>
        <v>36.01</v>
      </c>
      <c r="H24" s="18">
        <f>VLOOKUP(C24,Sheet2!A:N,7,0)</f>
        <v>-1.61</v>
      </c>
      <c r="I24" s="18">
        <f>VLOOKUP(C24,Sheet2!A:N,8,0)</f>
        <v>36.01</v>
      </c>
      <c r="J24" s="18">
        <f>VLOOKUP(C24,Sheet2!A:N,9,0)</f>
        <v>37.25</v>
      </c>
      <c r="K24" s="18">
        <f>VLOOKUP(C24,Sheet2!A:N,10,0)</f>
        <v>36.01</v>
      </c>
      <c r="L24" s="20">
        <f>VLOOKUP(C24,Sheet2!A:N,11,0)</f>
        <v>29897370.390000001</v>
      </c>
      <c r="M24" s="21">
        <f>VLOOKUP(C24,Sheet2!A:N,12,0)</f>
        <v>817371</v>
      </c>
      <c r="N24" s="18">
        <f>VLOOKUP(C24,Sheet2!A:N,13,0)</f>
        <v>1299</v>
      </c>
      <c r="O24" s="21">
        <f>VLOOKUP(C24,Sheet2!A:N,14,0)</f>
        <v>17249</v>
      </c>
    </row>
    <row r="25" spans="1:15" x14ac:dyDescent="0.25">
      <c r="A25" s="19" t="s">
        <v>377</v>
      </c>
      <c r="B25" s="18" t="str">
        <f t="shared" si="0"/>
        <v>زهراء المعادي للاستثمار والتعمير</v>
      </c>
      <c r="C25" s="18" t="str">
        <f>VLOOKUP(A25,Sheet1!C:F,2,0)</f>
        <v>زهراء المعادي للاستثمار والتعمير</v>
      </c>
      <c r="D25" s="18" t="s">
        <v>40</v>
      </c>
      <c r="E25" s="18">
        <f>VLOOKUP(C25,Sheet2!A:N,4,0)</f>
        <v>6.17</v>
      </c>
      <c r="F25" s="18">
        <f>VLOOKUP(C25,Sheet2!A:N,5,0)</f>
        <v>6.17</v>
      </c>
      <c r="G25" s="18">
        <f>VLOOKUP(C25,Sheet2!A:N,6,0)</f>
        <v>6.17</v>
      </c>
      <c r="H25" s="18">
        <f>VLOOKUP(C25,Sheet2!A:N,7,0)</f>
        <v>0</v>
      </c>
      <c r="I25" s="18">
        <f>VLOOKUP(C25,Sheet2!A:N,8,0)</f>
        <v>6.17</v>
      </c>
      <c r="J25" s="18">
        <f>VLOOKUP(C25,Sheet2!A:N,9,0)</f>
        <v>6.28</v>
      </c>
      <c r="K25" s="18">
        <f>VLOOKUP(C25,Sheet2!A:N,10,0)</f>
        <v>6.11</v>
      </c>
      <c r="L25" s="20">
        <f>VLOOKUP(C25,Sheet2!A:N,11,0)</f>
        <v>87080434.079999998</v>
      </c>
      <c r="M25" s="21">
        <f>VLOOKUP(C25,Sheet2!A:N,12,0)</f>
        <v>14055725</v>
      </c>
      <c r="N25" s="18">
        <f>VLOOKUP(C25,Sheet2!A:N,13,0)</f>
        <v>1466</v>
      </c>
      <c r="O25" s="21">
        <f>VLOOKUP(C25,Sheet2!A:N,14,0)</f>
        <v>6170</v>
      </c>
    </row>
    <row r="26" spans="1:15" x14ac:dyDescent="0.25">
      <c r="A26" s="19" t="s">
        <v>452</v>
      </c>
      <c r="B26" s="18" t="str">
        <f t="shared" si="0"/>
        <v>الجيزةالعامة للمقاولات والاستثمارالعقارى</v>
      </c>
      <c r="C26" s="18" t="str">
        <f>VLOOKUP(A26,Sheet1!C:F,2,0)</f>
        <v>الجيزةالعامة للمقاولات والاستثمارالعقارى</v>
      </c>
      <c r="D26" s="18" t="s">
        <v>71</v>
      </c>
      <c r="E26" s="18">
        <f>VLOOKUP(C26,Sheet2!A:N,4,0)</f>
        <v>0.40699999999999997</v>
      </c>
      <c r="F26" s="18">
        <f>VLOOKUP(C26,Sheet2!A:N,5,0)</f>
        <v>0.40699999999999997</v>
      </c>
      <c r="G26" s="18">
        <f>VLOOKUP(C26,Sheet2!A:N,6,0)</f>
        <v>0.41399999999999998</v>
      </c>
      <c r="H26" s="18">
        <f>VLOOKUP(C26,Sheet2!A:N,7,0)</f>
        <v>1.72</v>
      </c>
      <c r="I26" s="18">
        <f>VLOOKUP(C26,Sheet2!A:N,8,0)</f>
        <v>0.41399999999999998</v>
      </c>
      <c r="J26" s="18">
        <f>VLOOKUP(C26,Sheet2!A:N,9,0)</f>
        <v>0.41799999999999998</v>
      </c>
      <c r="K26" s="18">
        <f>VLOOKUP(C26,Sheet2!A:N,10,0)</f>
        <v>0.40699999999999997</v>
      </c>
      <c r="L26" s="20">
        <f>VLOOKUP(C26,Sheet2!A:N,11,0)</f>
        <v>6167590.5</v>
      </c>
      <c r="M26" s="21">
        <f>VLOOKUP(C26,Sheet2!A:N,12,0)</f>
        <v>14977371</v>
      </c>
      <c r="N26" s="18">
        <f>VLOOKUP(C26,Sheet2!A:N,13,0)</f>
        <v>307</v>
      </c>
      <c r="O26" s="21">
        <f>VLOOKUP(C26,Sheet2!A:N,14,0)</f>
        <v>896</v>
      </c>
    </row>
    <row r="27" spans="1:15" x14ac:dyDescent="0.25">
      <c r="A27" s="19" t="s">
        <v>417</v>
      </c>
      <c r="B27" s="18" t="str">
        <f t="shared" si="0"/>
        <v>شركة النصر للأعمال المدنية</v>
      </c>
      <c r="C27" s="18" t="str">
        <f>VLOOKUP(A27,Sheet1!C:F,2,0)</f>
        <v>شركة النصر للأعمال المدنية</v>
      </c>
      <c r="D27" s="18" t="s">
        <v>71</v>
      </c>
      <c r="E27" s="18">
        <f>VLOOKUP(C27,Sheet2!A:N,4,0)</f>
        <v>6.43</v>
      </c>
      <c r="F27" s="18">
        <f>VLOOKUP(C27,Sheet2!A:N,5,0)</f>
        <v>6.43</v>
      </c>
      <c r="G27" s="18">
        <f>VLOOKUP(C27,Sheet2!A:N,6,0)</f>
        <v>6.27</v>
      </c>
      <c r="H27" s="18">
        <f>VLOOKUP(C27,Sheet2!A:N,7,0)</f>
        <v>-2.4900000000000002</v>
      </c>
      <c r="I27" s="18">
        <f>VLOOKUP(C27,Sheet2!A:N,8,0)</f>
        <v>6.27</v>
      </c>
      <c r="J27" s="18">
        <f>VLOOKUP(C27,Sheet2!A:N,9,0)</f>
        <v>6.47</v>
      </c>
      <c r="K27" s="18">
        <f>VLOOKUP(C27,Sheet2!A:N,10,0)</f>
        <v>6.26</v>
      </c>
      <c r="L27" s="20">
        <f>VLOOKUP(C27,Sheet2!A:N,11,0)</f>
        <v>11852482.75</v>
      </c>
      <c r="M27" s="21">
        <f>VLOOKUP(C27,Sheet2!A:N,12,0)</f>
        <v>1874716</v>
      </c>
      <c r="N27" s="18">
        <f>VLOOKUP(C27,Sheet2!A:N,13,0)</f>
        <v>673</v>
      </c>
      <c r="O27" s="21">
        <f>VLOOKUP(C27,Sheet2!A:N,14,0)</f>
        <v>1317</v>
      </c>
    </row>
    <row r="28" spans="1:15" x14ac:dyDescent="0.25">
      <c r="A28" s="19" t="s">
        <v>511</v>
      </c>
      <c r="B28" s="18" t="str">
        <f t="shared" si="0"/>
        <v>المصرية للدواجن</v>
      </c>
      <c r="C28" s="18" t="str">
        <f>VLOOKUP(A28,Sheet1!C:F,2,0)</f>
        <v>المصرية للدواجن</v>
      </c>
      <c r="D28" s="18" t="s">
        <v>48</v>
      </c>
      <c r="E28" s="18">
        <f>VLOOKUP(C28,Sheet2!A:N,4,0)</f>
        <v>9.2799999999999994</v>
      </c>
      <c r="F28" s="18">
        <f>VLOOKUP(C28,Sheet2!A:N,5,0)</f>
        <v>9.2799999999999994</v>
      </c>
      <c r="G28" s="18">
        <f>VLOOKUP(C28,Sheet2!A:N,6,0)</f>
        <v>9.41</v>
      </c>
      <c r="H28" s="18">
        <f>VLOOKUP(C28,Sheet2!A:N,7,0)</f>
        <v>1.4</v>
      </c>
      <c r="I28" s="18">
        <f>VLOOKUP(C28,Sheet2!A:N,8,0)</f>
        <v>9.41</v>
      </c>
      <c r="J28" s="18">
        <f>VLOOKUP(C28,Sheet2!A:N,9,0)</f>
        <v>9.8000000000000007</v>
      </c>
      <c r="K28" s="18">
        <f>VLOOKUP(C28,Sheet2!A:N,10,0)</f>
        <v>9.2200000000000006</v>
      </c>
      <c r="L28" s="20">
        <f>VLOOKUP(C28,Sheet2!A:N,11,0)</f>
        <v>39504655.130000003</v>
      </c>
      <c r="M28" s="21">
        <f>VLOOKUP(C28,Sheet2!A:N,12,0)</f>
        <v>4141260</v>
      </c>
      <c r="N28" s="18">
        <f>VLOOKUP(C28,Sheet2!A:N,13,0)</f>
        <v>1237</v>
      </c>
      <c r="O28" s="21">
        <f>VLOOKUP(C28,Sheet2!A:N,14,0)</f>
        <v>401</v>
      </c>
    </row>
    <row r="29" spans="1:15" x14ac:dyDescent="0.25">
      <c r="A29" s="19" t="s">
        <v>581</v>
      </c>
      <c r="B29" s="18" t="str">
        <f t="shared" si="0"/>
        <v>مجموعة النعيم العقارية القابضة</v>
      </c>
      <c r="C29" s="18" t="str">
        <f>VLOOKUP(A29,Sheet1!C:F,2,0)</f>
        <v>مجموعة النعيم العقارية القابضة</v>
      </c>
      <c r="D29" s="18" t="s">
        <v>40</v>
      </c>
      <c r="E29" s="18">
        <f>VLOOKUP(C29,Sheet2!A:N,4,0)</f>
        <v>10.23</v>
      </c>
      <c r="F29" s="18">
        <f>VLOOKUP(C29,Sheet2!A:N,5,0)</f>
        <v>10.23</v>
      </c>
      <c r="G29" s="18">
        <f>VLOOKUP(C29,Sheet2!A:N,6,0)</f>
        <v>12.27</v>
      </c>
      <c r="H29" s="18">
        <f>VLOOKUP(C29,Sheet2!A:N,7,0)</f>
        <v>19.940000000000001</v>
      </c>
      <c r="I29" s="18">
        <f>VLOOKUP(C29,Sheet2!A:N,8,0)</f>
        <v>12.27</v>
      </c>
      <c r="J29" s="18">
        <f>VLOOKUP(C29,Sheet2!A:N,9,0)</f>
        <v>12.27</v>
      </c>
      <c r="K29" s="18">
        <f>VLOOKUP(C29,Sheet2!A:N,10,0)</f>
        <v>10.26</v>
      </c>
      <c r="L29" s="20">
        <f>VLOOKUP(C29,Sheet2!A:N,11,0)</f>
        <v>58826182.390000001</v>
      </c>
      <c r="M29" s="21">
        <f>VLOOKUP(C29,Sheet2!A:N,12,0)</f>
        <v>5073036</v>
      </c>
      <c r="N29" s="18">
        <f>VLOOKUP(C29,Sheet2!A:N,13,0)</f>
        <v>1715</v>
      </c>
      <c r="O29" s="21">
        <f>VLOOKUP(C29,Sheet2!A:N,14,0)</f>
        <v>1567</v>
      </c>
    </row>
    <row r="30" spans="1:15" x14ac:dyDescent="0.25">
      <c r="A30" s="19" t="s">
        <v>584</v>
      </c>
      <c r="B30" s="18" t="str">
        <f t="shared" si="0"/>
        <v>جى بى اى للنمو العمرانى</v>
      </c>
      <c r="C30" s="18" t="str">
        <f>VLOOKUP(A30,Sheet1!C:F,2,0)</f>
        <v>جى بى اى للنمو العمرانى</v>
      </c>
      <c r="D30" s="18" t="s">
        <v>71</v>
      </c>
      <c r="E30" s="18">
        <f>VLOOKUP(C30,Sheet2!A:N,4,0)</f>
        <v>1.1299999999999999</v>
      </c>
      <c r="F30" s="18">
        <f>VLOOKUP(C30,Sheet2!A:N,5,0)</f>
        <v>1.1299999999999999</v>
      </c>
      <c r="G30" s="18">
        <f>VLOOKUP(C30,Sheet2!A:N,6,0)</f>
        <v>1.19</v>
      </c>
      <c r="H30" s="18">
        <f>VLOOKUP(C30,Sheet2!A:N,7,0)</f>
        <v>5.31</v>
      </c>
      <c r="I30" s="18">
        <f>VLOOKUP(C30,Sheet2!A:N,8,0)</f>
        <v>1.19</v>
      </c>
      <c r="J30" s="18">
        <f>VLOOKUP(C30,Sheet2!A:N,9,0)</f>
        <v>1.22</v>
      </c>
      <c r="K30" s="18">
        <f>VLOOKUP(C30,Sheet2!A:N,10,0)</f>
        <v>1.1299999999999999</v>
      </c>
      <c r="L30" s="20">
        <f>VLOOKUP(C30,Sheet2!A:N,11,0)</f>
        <v>62072969.210000001</v>
      </c>
      <c r="M30" s="21">
        <f>VLOOKUP(C30,Sheet2!A:N,12,0)</f>
        <v>52687092</v>
      </c>
      <c r="N30" s="18">
        <f>VLOOKUP(C30,Sheet2!A:N,13,0)</f>
        <v>1324</v>
      </c>
      <c r="O30" s="21">
        <f>VLOOKUP(C30,Sheet2!A:N,14,0)</f>
        <v>1947</v>
      </c>
    </row>
    <row r="31" spans="1:15" x14ac:dyDescent="0.25">
      <c r="A31" s="19" t="s">
        <v>290</v>
      </c>
      <c r="B31" s="18" t="str">
        <f t="shared" si="0"/>
        <v>قناة السويس لتوطين التكنولوجيا</v>
      </c>
      <c r="C31" s="18" t="str">
        <f>VLOOKUP(A31,Sheet1!C:F,2,0)</f>
        <v>قناة السويس لتوطين التكنولوجيا</v>
      </c>
      <c r="D31" s="18" t="s">
        <v>77</v>
      </c>
      <c r="E31" s="18">
        <f>VLOOKUP(C31,Sheet2!A:N,4,0)</f>
        <v>605.91999999999996</v>
      </c>
      <c r="F31" s="18">
        <f>VLOOKUP(C31,Sheet2!A:N,5,0)</f>
        <v>605.91999999999996</v>
      </c>
      <c r="G31" s="18">
        <f>VLOOKUP(C31,Sheet2!A:N,6,0)</f>
        <v>600.65</v>
      </c>
      <c r="H31" s="18">
        <f>VLOOKUP(C31,Sheet2!A:N,7,0)</f>
        <v>-0.87</v>
      </c>
      <c r="I31" s="18">
        <f>VLOOKUP(C31,Sheet2!A:N,8,0)</f>
        <v>594.02</v>
      </c>
      <c r="J31" s="18">
        <f>VLOOKUP(C31,Sheet2!A:N,9,0)</f>
        <v>612</v>
      </c>
      <c r="K31" s="18">
        <f>VLOOKUP(C31,Sheet2!A:N,10,0)</f>
        <v>565.25</v>
      </c>
      <c r="L31" s="20">
        <f>VLOOKUP(C31,Sheet2!A:N,11,0)</f>
        <v>3854714.92</v>
      </c>
      <c r="M31" s="21">
        <f>VLOOKUP(C31,Sheet2!A:N,12,0)</f>
        <v>6499</v>
      </c>
      <c r="N31" s="18">
        <f>VLOOKUP(C31,Sheet2!A:N,13,0)</f>
        <v>309</v>
      </c>
      <c r="O31" s="21">
        <f>VLOOKUP(C31,Sheet2!A:N,14,0)</f>
        <v>54599</v>
      </c>
    </row>
    <row r="32" spans="1:15" x14ac:dyDescent="0.25">
      <c r="A32" s="19" t="s">
        <v>299</v>
      </c>
      <c r="B32" s="18" t="str">
        <f t="shared" si="0"/>
        <v>راية القابضة للأستثمارات المالية</v>
      </c>
      <c r="C32" s="18" t="str">
        <f>VLOOKUP(A32,Sheet1!C:F,2,0)</f>
        <v>راية القابضة للأستثمارات المالية</v>
      </c>
      <c r="D32" s="18" t="s">
        <v>44</v>
      </c>
      <c r="E32" s="18">
        <f>VLOOKUP(C32,Sheet2!A:N,4,0)</f>
        <v>7</v>
      </c>
      <c r="F32" s="18">
        <f>VLOOKUP(C32,Sheet2!A:N,5,0)</f>
        <v>7</v>
      </c>
      <c r="G32" s="18">
        <f>VLOOKUP(C32,Sheet2!A:N,6,0)</f>
        <v>7.01</v>
      </c>
      <c r="H32" s="18">
        <f>VLOOKUP(C32,Sheet2!A:N,7,0)</f>
        <v>0.14000000000000001</v>
      </c>
      <c r="I32" s="18">
        <f>VLOOKUP(C32,Sheet2!A:N,8,0)</f>
        <v>7.01</v>
      </c>
      <c r="J32" s="18">
        <f>VLOOKUP(C32,Sheet2!A:N,9,0)</f>
        <v>7.11</v>
      </c>
      <c r="K32" s="18">
        <f>VLOOKUP(C32,Sheet2!A:N,10,0)</f>
        <v>6.8</v>
      </c>
      <c r="L32" s="20">
        <f>VLOOKUP(C32,Sheet2!A:N,11,0)</f>
        <v>88249223.269999996</v>
      </c>
      <c r="M32" s="21">
        <f>VLOOKUP(C32,Sheet2!A:N,12,0)</f>
        <v>12634260</v>
      </c>
      <c r="N32" s="18">
        <f>VLOOKUP(C32,Sheet2!A:N,13,0)</f>
        <v>2733</v>
      </c>
      <c r="O32" s="21">
        <f>VLOOKUP(C32,Sheet2!A:N,14,0)</f>
        <v>30012</v>
      </c>
    </row>
    <row r="33" spans="1:15" x14ac:dyDescent="0.25">
      <c r="A33" s="19" t="s">
        <v>520</v>
      </c>
      <c r="B33" s="18" t="str">
        <f t="shared" si="0"/>
        <v>العامة لصناعة الورق - راكتا</v>
      </c>
      <c r="C33" s="18" t="str">
        <f>VLOOKUP(A33,Sheet1!C:F,2,0)</f>
        <v>العامة لصناعة الورق - راكتا</v>
      </c>
      <c r="D33" s="18" t="s">
        <v>42</v>
      </c>
      <c r="E33" s="18">
        <f>VLOOKUP(C33,Sheet2!A:N,4,0)</f>
        <v>22.59</v>
      </c>
      <c r="F33" s="18">
        <f>VLOOKUP(C33,Sheet2!A:N,5,0)</f>
        <v>22.59</v>
      </c>
      <c r="G33" s="18">
        <f>VLOOKUP(C33,Sheet2!A:N,6,0)</f>
        <v>23.03</v>
      </c>
      <c r="H33" s="18">
        <f>VLOOKUP(C33,Sheet2!A:N,7,0)</f>
        <v>1.95</v>
      </c>
      <c r="I33" s="18">
        <f>VLOOKUP(C33,Sheet2!A:N,8,0)</f>
        <v>23.25</v>
      </c>
      <c r="J33" s="18">
        <f>VLOOKUP(C33,Sheet2!A:N,9,0)</f>
        <v>23.49</v>
      </c>
      <c r="K33" s="18">
        <f>VLOOKUP(C33,Sheet2!A:N,10,0)</f>
        <v>22</v>
      </c>
      <c r="L33" s="20">
        <f>VLOOKUP(C33,Sheet2!A:N,11,0)</f>
        <v>517743.66</v>
      </c>
      <c r="M33" s="21">
        <f>VLOOKUP(C33,Sheet2!A:N,12,0)</f>
        <v>22616</v>
      </c>
      <c r="N33" s="18">
        <f>VLOOKUP(C33,Sheet2!A:N,13,0)</f>
        <v>27</v>
      </c>
      <c r="O33" s="21">
        <f>VLOOKUP(C33,Sheet2!A:N,14,0)</f>
        <v>691</v>
      </c>
    </row>
    <row r="34" spans="1:15" x14ac:dyDescent="0.25">
      <c r="A34" s="19" t="s">
        <v>248</v>
      </c>
      <c r="B34" s="18" t="str">
        <f t="shared" si="0"/>
        <v>ابوقير للاسمدة والصناعات الكيماوية</v>
      </c>
      <c r="C34" s="18" t="str">
        <f>VLOOKUP(A34,Sheet1!C:F,2,0)</f>
        <v>ابوقير للاسمدة والصناعات الكيماوية</v>
      </c>
      <c r="D34" s="18" t="s">
        <v>61</v>
      </c>
      <c r="E34" s="18">
        <f>VLOOKUP(C34,Sheet2!A:N,4,0)</f>
        <v>72.739999999999995</v>
      </c>
      <c r="F34" s="18">
        <f>VLOOKUP(C34,Sheet2!A:N,5,0)</f>
        <v>72.739999999999995</v>
      </c>
      <c r="G34" s="18">
        <f>VLOOKUP(C34,Sheet2!A:N,6,0)</f>
        <v>71.16</v>
      </c>
      <c r="H34" s="18">
        <f>VLOOKUP(C34,Sheet2!A:N,7,0)</f>
        <v>-2.17</v>
      </c>
      <c r="I34" s="18">
        <f>VLOOKUP(C34,Sheet2!A:N,8,0)</f>
        <v>71.16</v>
      </c>
      <c r="J34" s="18">
        <f>VLOOKUP(C34,Sheet2!A:N,9,0)</f>
        <v>73.430000000000007</v>
      </c>
      <c r="K34" s="18">
        <f>VLOOKUP(C34,Sheet2!A:N,10,0)</f>
        <v>71.06</v>
      </c>
      <c r="L34" s="20">
        <f>VLOOKUP(C34,Sheet2!A:N,11,0)</f>
        <v>151040991.63999999</v>
      </c>
      <c r="M34" s="21">
        <f>VLOOKUP(C34,Sheet2!A:N,12,0)</f>
        <v>2102567</v>
      </c>
      <c r="N34" s="18">
        <f>VLOOKUP(C34,Sheet2!A:N,13,0)</f>
        <v>5677</v>
      </c>
      <c r="O34" s="21">
        <f>VLOOKUP(C34,Sheet2!A:N,14,0)</f>
        <v>89795</v>
      </c>
    </row>
    <row r="35" spans="1:15" x14ac:dyDescent="0.25">
      <c r="A35" s="19" t="s">
        <v>463</v>
      </c>
      <c r="B35" s="18" t="str">
        <f t="shared" si="0"/>
        <v>الزيوت المستخلصة ومنتجاتها</v>
      </c>
      <c r="C35" s="18" t="str">
        <f>VLOOKUP(A35,Sheet1!C:F,2,0)</f>
        <v>الزيوت المستخلصة ومنتجاتها</v>
      </c>
      <c r="D35" s="18" t="s">
        <v>48</v>
      </c>
      <c r="E35" s="18">
        <f>VLOOKUP(C35,Sheet2!A:N,4,0)</f>
        <v>9.4</v>
      </c>
      <c r="F35" s="18">
        <f>VLOOKUP(C35,Sheet2!A:N,5,0)</f>
        <v>9.4</v>
      </c>
      <c r="G35" s="18">
        <f>VLOOKUP(C35,Sheet2!A:N,6,0)</f>
        <v>11.28</v>
      </c>
      <c r="H35" s="18">
        <f>VLOOKUP(C35,Sheet2!A:N,7,0)</f>
        <v>20</v>
      </c>
      <c r="I35" s="18">
        <f>VLOOKUP(C35,Sheet2!A:N,8,0)</f>
        <v>11.28</v>
      </c>
      <c r="J35" s="18">
        <f>VLOOKUP(C35,Sheet2!A:N,9,0)</f>
        <v>11.28</v>
      </c>
      <c r="K35" s="18">
        <f>VLOOKUP(C35,Sheet2!A:N,10,0)</f>
        <v>9.4700000000000006</v>
      </c>
      <c r="L35" s="20">
        <f>VLOOKUP(C35,Sheet2!A:N,11,0)</f>
        <v>197242002.68000001</v>
      </c>
      <c r="M35" s="21">
        <f>VLOOKUP(C35,Sheet2!A:N,12,0)</f>
        <v>18582643</v>
      </c>
      <c r="N35" s="18">
        <f>VLOOKUP(C35,Sheet2!A:N,13,0)</f>
        <v>4200</v>
      </c>
      <c r="O35" s="21">
        <f>VLOOKUP(C35,Sheet2!A:N,14,0)</f>
        <v>2256</v>
      </c>
    </row>
    <row r="36" spans="1:15" x14ac:dyDescent="0.25">
      <c r="A36" s="19" t="s">
        <v>291</v>
      </c>
      <c r="B36" s="18" t="str">
        <f t="shared" si="0"/>
        <v>الصناعات الكيماوية المصرية - كيما</v>
      </c>
      <c r="C36" s="18" t="str">
        <f>VLOOKUP(A36,Sheet1!C:F,2,0)</f>
        <v>الصناعات الكيماوية المصرية - كيما</v>
      </c>
      <c r="D36" s="18" t="s">
        <v>61</v>
      </c>
      <c r="E36" s="18">
        <f>VLOOKUP(C36,Sheet2!A:N,4,0)</f>
        <v>13.2</v>
      </c>
      <c r="F36" s="18">
        <f>VLOOKUP(C36,Sheet2!A:N,5,0)</f>
        <v>13.2</v>
      </c>
      <c r="G36" s="18">
        <f>VLOOKUP(C36,Sheet2!A:N,6,0)</f>
        <v>13.75</v>
      </c>
      <c r="H36" s="18">
        <f>VLOOKUP(C36,Sheet2!A:N,7,0)</f>
        <v>4.17</v>
      </c>
      <c r="I36" s="18">
        <f>VLOOKUP(C36,Sheet2!A:N,8,0)</f>
        <v>13.75</v>
      </c>
      <c r="J36" s="18">
        <f>VLOOKUP(C36,Sheet2!A:N,9,0)</f>
        <v>13.8</v>
      </c>
      <c r="K36" s="18">
        <f>VLOOKUP(C36,Sheet2!A:N,10,0)</f>
        <v>13.23</v>
      </c>
      <c r="L36" s="20">
        <f>VLOOKUP(C36,Sheet2!A:N,11,0)</f>
        <v>49680137.590000004</v>
      </c>
      <c r="M36" s="21">
        <f>VLOOKUP(C36,Sheet2!A:N,12,0)</f>
        <v>3659089</v>
      </c>
      <c r="N36" s="18">
        <f>VLOOKUP(C36,Sheet2!A:N,13,0)</f>
        <v>988</v>
      </c>
      <c r="O36" s="21">
        <f>VLOOKUP(C36,Sheet2!A:N,14,0)</f>
        <v>27315</v>
      </c>
    </row>
    <row r="37" spans="1:15" x14ac:dyDescent="0.25">
      <c r="A37" s="19" t="s">
        <v>528</v>
      </c>
      <c r="B37" s="18" t="str">
        <f t="shared" si="0"/>
        <v>مطاحن ومخابز شمال القاهرة</v>
      </c>
      <c r="C37" s="18" t="str">
        <f>VLOOKUP(A37,Sheet1!C:F,2,0)</f>
        <v>مطاحن ومخابز شمال القاهرة</v>
      </c>
      <c r="D37" s="18" t="s">
        <v>48</v>
      </c>
      <c r="E37" s="18">
        <f>VLOOKUP(C37,Sheet2!A:N,4,0)</f>
        <v>146</v>
      </c>
      <c r="F37" s="18">
        <f>VLOOKUP(C37,Sheet2!A:N,5,0)</f>
        <v>146</v>
      </c>
      <c r="G37" s="18">
        <f>VLOOKUP(C37,Sheet2!A:N,6,0)</f>
        <v>141.82</v>
      </c>
      <c r="H37" s="18">
        <f>VLOOKUP(C37,Sheet2!A:N,7,0)</f>
        <v>-2.86</v>
      </c>
      <c r="I37" s="18">
        <f>VLOOKUP(C37,Sheet2!A:N,8,0)</f>
        <v>142</v>
      </c>
      <c r="J37" s="18">
        <f>VLOOKUP(C37,Sheet2!A:N,9,0)</f>
        <v>147.69999999999999</v>
      </c>
      <c r="K37" s="18">
        <f>VLOOKUP(C37,Sheet2!A:N,10,0)</f>
        <v>140.01</v>
      </c>
      <c r="L37" s="20">
        <f>VLOOKUP(C37,Sheet2!A:N,11,0)</f>
        <v>13534356.390000001</v>
      </c>
      <c r="M37" s="21">
        <f>VLOOKUP(C37,Sheet2!A:N,12,0)</f>
        <v>94799</v>
      </c>
      <c r="N37" s="18">
        <f>VLOOKUP(C37,Sheet2!A:N,13,0)</f>
        <v>382</v>
      </c>
      <c r="O37" s="21">
        <f>VLOOKUP(C37,Sheet2!A:N,14,0)</f>
        <v>1517</v>
      </c>
    </row>
    <row r="38" spans="1:15" x14ac:dyDescent="0.25">
      <c r="A38" s="19" t="s">
        <v>529</v>
      </c>
      <c r="B38" s="18" t="str">
        <f t="shared" si="0"/>
        <v>مطاحن ومخابز الاسكندرية</v>
      </c>
      <c r="C38" s="18" t="str">
        <f>VLOOKUP(A38,Sheet1!C:F,2,0)</f>
        <v>مطاحن ومخابز الاسكندرية</v>
      </c>
      <c r="D38" s="18" t="s">
        <v>48</v>
      </c>
      <c r="E38" s="18">
        <f>VLOOKUP(C38,Sheet2!A:N,4,0)</f>
        <v>71.349999999999994</v>
      </c>
      <c r="F38" s="18">
        <f>VLOOKUP(C38,Sheet2!A:N,5,0)</f>
        <v>71.349999999999994</v>
      </c>
      <c r="G38" s="18">
        <f>VLOOKUP(C38,Sheet2!A:N,6,0)</f>
        <v>71.23</v>
      </c>
      <c r="H38" s="18">
        <f>VLOOKUP(C38,Sheet2!A:N,7,0)</f>
        <v>-0.17</v>
      </c>
      <c r="I38" s="18">
        <f>VLOOKUP(C38,Sheet2!A:N,8,0)</f>
        <v>71.02</v>
      </c>
      <c r="J38" s="18">
        <f>VLOOKUP(C38,Sheet2!A:N,9,0)</f>
        <v>72</v>
      </c>
      <c r="K38" s="18">
        <f>VLOOKUP(C38,Sheet2!A:N,10,0)</f>
        <v>71</v>
      </c>
      <c r="L38" s="20">
        <f>VLOOKUP(C38,Sheet2!A:N,11,0)</f>
        <v>833925.99</v>
      </c>
      <c r="M38" s="21">
        <f>VLOOKUP(C38,Sheet2!A:N,12,0)</f>
        <v>11660</v>
      </c>
      <c r="N38" s="18">
        <f>VLOOKUP(C38,Sheet2!A:N,13,0)</f>
        <v>84</v>
      </c>
      <c r="O38" s="21">
        <f>VLOOKUP(C38,Sheet2!A:N,14,0)</f>
        <v>2343</v>
      </c>
    </row>
    <row r="39" spans="1:15" x14ac:dyDescent="0.25">
      <c r="A39" s="19" t="s">
        <v>406</v>
      </c>
      <c r="B39" s="18" t="str">
        <f t="shared" si="0"/>
        <v>مطاحن وسط وغرب الدلتا</v>
      </c>
      <c r="C39" s="18" t="str">
        <f>VLOOKUP(A39,Sheet1!C:F,2,0)</f>
        <v>مطاحن وسط وغرب الدلتا</v>
      </c>
      <c r="D39" s="18" t="s">
        <v>48</v>
      </c>
      <c r="E39" s="18">
        <f>VLOOKUP(C39,Sheet2!A:N,4,0)</f>
        <v>507.59</v>
      </c>
      <c r="F39" s="18">
        <f>VLOOKUP(C39,Sheet2!A:N,5,0)</f>
        <v>507.59</v>
      </c>
      <c r="G39" s="18">
        <f>VLOOKUP(C39,Sheet2!A:N,6,0)</f>
        <v>537.53</v>
      </c>
      <c r="H39" s="18">
        <f>VLOOKUP(C39,Sheet2!A:N,7,0)</f>
        <v>5.9</v>
      </c>
      <c r="I39" s="18">
        <f>VLOOKUP(C39,Sheet2!A:N,8,0)</f>
        <v>540.9</v>
      </c>
      <c r="J39" s="18">
        <f>VLOOKUP(C39,Sheet2!A:N,9,0)</f>
        <v>544.99</v>
      </c>
      <c r="K39" s="18">
        <f>VLOOKUP(C39,Sheet2!A:N,10,0)</f>
        <v>530.11</v>
      </c>
      <c r="L39" s="20">
        <f>VLOOKUP(C39,Sheet2!A:N,11,0)</f>
        <v>467109.78</v>
      </c>
      <c r="M39" s="21">
        <f>VLOOKUP(C39,Sheet2!A:N,12,0)</f>
        <v>867</v>
      </c>
      <c r="N39" s="18">
        <f>VLOOKUP(C39,Sheet2!A:N,13,0)</f>
        <v>66</v>
      </c>
      <c r="O39" s="21">
        <f>VLOOKUP(C39,Sheet2!A:N,14,0)</f>
        <v>4031</v>
      </c>
    </row>
    <row r="40" spans="1:15" x14ac:dyDescent="0.25">
      <c r="A40" s="19" t="s">
        <v>531</v>
      </c>
      <c r="B40" s="18" t="str">
        <f t="shared" si="0"/>
        <v>مطاحن مصر الوسطي</v>
      </c>
      <c r="C40" s="18" t="str">
        <f>VLOOKUP(A40,Sheet1!C:F,2,0)</f>
        <v>مطاحن مصر الوسطي</v>
      </c>
      <c r="D40" s="18" t="s">
        <v>48</v>
      </c>
      <c r="E40" s="18">
        <f>VLOOKUP(C40,Sheet2!A:N,4,0)</f>
        <v>103.48</v>
      </c>
      <c r="F40" s="18">
        <f>VLOOKUP(C40,Sheet2!A:N,5,0)</f>
        <v>103.48</v>
      </c>
      <c r="G40" s="18">
        <f>VLOOKUP(C40,Sheet2!A:N,6,0)</f>
        <v>103.68</v>
      </c>
      <c r="H40" s="18">
        <f>VLOOKUP(C40,Sheet2!A:N,7,0)</f>
        <v>0.19</v>
      </c>
      <c r="I40" s="18">
        <f>VLOOKUP(C40,Sheet2!A:N,8,0)</f>
        <v>103.68</v>
      </c>
      <c r="J40" s="18">
        <f>VLOOKUP(C40,Sheet2!A:N,9,0)</f>
        <v>106.5</v>
      </c>
      <c r="K40" s="18">
        <f>VLOOKUP(C40,Sheet2!A:N,10,0)</f>
        <v>103.51</v>
      </c>
      <c r="L40" s="20">
        <f>VLOOKUP(C40,Sheet2!A:N,11,0)</f>
        <v>1844887.85</v>
      </c>
      <c r="M40" s="21">
        <f>VLOOKUP(C40,Sheet2!A:N,12,0)</f>
        <v>17616</v>
      </c>
      <c r="N40" s="18">
        <f>VLOOKUP(C40,Sheet2!A:N,13,0)</f>
        <v>193</v>
      </c>
      <c r="O40" s="21">
        <f>VLOOKUP(C40,Sheet2!A:N,14,0)</f>
        <v>1526</v>
      </c>
    </row>
    <row r="41" spans="1:15" x14ac:dyDescent="0.25">
      <c r="A41" s="19" t="s">
        <v>534</v>
      </c>
      <c r="B41" s="18" t="str">
        <f t="shared" si="0"/>
        <v>العربية لحليج الأقطان</v>
      </c>
      <c r="C41" s="18" t="str">
        <f>VLOOKUP(A41,Sheet1!C:F,2,0)</f>
        <v>العربية لحليج الأقطان</v>
      </c>
      <c r="D41" s="18" t="s">
        <v>88</v>
      </c>
      <c r="E41" s="18">
        <f>VLOOKUP(C41,Sheet2!A:N,4,0)</f>
        <v>9.3699999999999992</v>
      </c>
      <c r="F41" s="18">
        <f>VLOOKUP(C41,Sheet2!A:N,5,0)</f>
        <v>9.3699999999999992</v>
      </c>
      <c r="G41" s="18">
        <f>VLOOKUP(C41,Sheet2!A:N,6,0)</f>
        <v>9.4499999999999993</v>
      </c>
      <c r="H41" s="18">
        <f>VLOOKUP(C41,Sheet2!A:N,7,0)</f>
        <v>0.85</v>
      </c>
      <c r="I41" s="18">
        <f>VLOOKUP(C41,Sheet2!A:N,8,0)</f>
        <v>9.4499999999999993</v>
      </c>
      <c r="J41" s="18">
        <f>VLOOKUP(C41,Sheet2!A:N,9,0)</f>
        <v>9.48</v>
      </c>
      <c r="K41" s="18">
        <f>VLOOKUP(C41,Sheet2!A:N,10,0)</f>
        <v>9.3699999999999992</v>
      </c>
      <c r="L41" s="20">
        <f>VLOOKUP(C41,Sheet2!A:N,11,0)</f>
        <v>9285702.6899999995</v>
      </c>
      <c r="M41" s="21">
        <f>VLOOKUP(C41,Sheet2!A:N,12,0)</f>
        <v>986839</v>
      </c>
      <c r="N41" s="18">
        <f>VLOOKUP(C41,Sheet2!A:N,13,0)</f>
        <v>412</v>
      </c>
      <c r="O41" s="21">
        <f>VLOOKUP(C41,Sheet2!A:N,14,0)</f>
        <v>2503</v>
      </c>
    </row>
    <row r="42" spans="1:15" x14ac:dyDescent="0.25">
      <c r="A42" s="19" t="s">
        <v>319</v>
      </c>
      <c r="B42" s="18" t="str">
        <f t="shared" si="0"/>
        <v>النساجون الشرقيون للسجاد</v>
      </c>
      <c r="C42" s="18" t="str">
        <f>VLOOKUP(A42,Sheet1!C:F,2,0)</f>
        <v>النساجون الشرقيون للسجاد</v>
      </c>
      <c r="D42" s="18" t="s">
        <v>88</v>
      </c>
      <c r="E42" s="18">
        <f>VLOOKUP(C42,Sheet2!A:N,4,0)</f>
        <v>23.13</v>
      </c>
      <c r="F42" s="18">
        <f>VLOOKUP(C42,Sheet2!A:N,5,0)</f>
        <v>23.13</v>
      </c>
      <c r="G42" s="18">
        <f>VLOOKUP(C42,Sheet2!A:N,6,0)</f>
        <v>23.18</v>
      </c>
      <c r="H42" s="18">
        <f>VLOOKUP(C42,Sheet2!A:N,7,0)</f>
        <v>0.22</v>
      </c>
      <c r="I42" s="18">
        <f>VLOOKUP(C42,Sheet2!A:N,8,0)</f>
        <v>23.18</v>
      </c>
      <c r="J42" s="18">
        <f>VLOOKUP(C42,Sheet2!A:N,9,0)</f>
        <v>23.3</v>
      </c>
      <c r="K42" s="18">
        <f>VLOOKUP(C42,Sheet2!A:N,10,0)</f>
        <v>23.01</v>
      </c>
      <c r="L42" s="20">
        <f>VLOOKUP(C42,Sheet2!A:N,11,0)</f>
        <v>12629147.359999999</v>
      </c>
      <c r="M42" s="21">
        <f>VLOOKUP(C42,Sheet2!A:N,12,0)</f>
        <v>546571</v>
      </c>
      <c r="N42" s="18">
        <f>VLOOKUP(C42,Sheet2!A:N,13,0)</f>
        <v>474</v>
      </c>
      <c r="O42" s="21">
        <f>VLOOKUP(C42,Sheet2!A:N,14,0)</f>
        <v>15417</v>
      </c>
    </row>
    <row r="43" spans="1:15" x14ac:dyDescent="0.25">
      <c r="A43" s="19" t="s">
        <v>536</v>
      </c>
      <c r="B43" s="18" t="str">
        <f t="shared" si="0"/>
        <v>العربية للادوية والصناعات الكيماوية</v>
      </c>
      <c r="C43" s="18" t="str">
        <f>VLOOKUP(A43,Sheet1!C:F,2,0)</f>
        <v>العربية للادوية والصناعات الكيماوية</v>
      </c>
      <c r="D43" s="18" t="s">
        <v>51</v>
      </c>
      <c r="E43" s="18">
        <f>VLOOKUP(C43,Sheet2!A:N,4,0)</f>
        <v>226.87</v>
      </c>
      <c r="F43" s="18">
        <f>VLOOKUP(C43,Sheet2!A:N,5,0)</f>
        <v>226.87</v>
      </c>
      <c r="G43" s="18">
        <f>VLOOKUP(C43,Sheet2!A:N,6,0)</f>
        <v>227.1</v>
      </c>
      <c r="H43" s="18">
        <f>VLOOKUP(C43,Sheet2!A:N,7,0)</f>
        <v>0.1</v>
      </c>
      <c r="I43" s="18">
        <f>VLOOKUP(C43,Sheet2!A:N,8,0)</f>
        <v>227.1</v>
      </c>
      <c r="J43" s="18">
        <f>VLOOKUP(C43,Sheet2!A:N,9,0)</f>
        <v>229.5</v>
      </c>
      <c r="K43" s="18">
        <f>VLOOKUP(C43,Sheet2!A:N,10,0)</f>
        <v>223.15</v>
      </c>
      <c r="L43" s="20">
        <f>VLOOKUP(C43,Sheet2!A:N,11,0)</f>
        <v>8786435.7300000004</v>
      </c>
      <c r="M43" s="21">
        <f>VLOOKUP(C43,Sheet2!A:N,12,0)</f>
        <v>39011</v>
      </c>
      <c r="N43" s="18">
        <f>VLOOKUP(C43,Sheet2!A:N,13,0)</f>
        <v>235</v>
      </c>
      <c r="O43" s="21">
        <f>VLOOKUP(C43,Sheet2!A:N,14,0)</f>
        <v>2725</v>
      </c>
    </row>
    <row r="44" spans="1:15" x14ac:dyDescent="0.25">
      <c r="A44" s="19" t="s">
        <v>407</v>
      </c>
      <c r="B44" s="18" t="str">
        <f t="shared" si="0"/>
        <v>القاهرة للادوية والصناعات الكيماوية</v>
      </c>
      <c r="C44" s="18" t="str">
        <f>VLOOKUP(A44,Sheet1!C:F,2,0)</f>
        <v>القاهرة للادوية والصناعات الكيماوية</v>
      </c>
      <c r="D44" s="18" t="s">
        <v>51</v>
      </c>
      <c r="E44" s="18">
        <f>VLOOKUP(C44,Sheet2!A:N,4,0)</f>
        <v>362.32</v>
      </c>
      <c r="F44" s="18">
        <f>VLOOKUP(C44,Sheet2!A:N,5,0)</f>
        <v>362.32</v>
      </c>
      <c r="G44" s="18">
        <f>VLOOKUP(C44,Sheet2!A:N,6,0)</f>
        <v>362.52</v>
      </c>
      <c r="H44" s="18">
        <f>VLOOKUP(C44,Sheet2!A:N,7,0)</f>
        <v>0.06</v>
      </c>
      <c r="I44" s="18">
        <f>VLOOKUP(C44,Sheet2!A:N,8,0)</f>
        <v>362.52</v>
      </c>
      <c r="J44" s="18">
        <f>VLOOKUP(C44,Sheet2!A:N,9,0)</f>
        <v>364.44</v>
      </c>
      <c r="K44" s="18">
        <f>VLOOKUP(C44,Sheet2!A:N,10,0)</f>
        <v>362.28</v>
      </c>
      <c r="L44" s="20">
        <f>VLOOKUP(C44,Sheet2!A:N,11,0)</f>
        <v>1554902.13</v>
      </c>
      <c r="M44" s="21">
        <f>VLOOKUP(C44,Sheet2!A:N,12,0)</f>
        <v>4289</v>
      </c>
      <c r="N44" s="18">
        <f>VLOOKUP(C44,Sheet2!A:N,13,0)</f>
        <v>68</v>
      </c>
      <c r="O44" s="21">
        <f>VLOOKUP(C44,Sheet2!A:N,14,0)</f>
        <v>5414</v>
      </c>
    </row>
    <row r="45" spans="1:15" x14ac:dyDescent="0.25">
      <c r="A45" s="19" t="s">
        <v>372</v>
      </c>
      <c r="B45" s="18" t="str">
        <f t="shared" si="0"/>
        <v>غاز مصر</v>
      </c>
      <c r="C45" s="18" t="str">
        <f>VLOOKUP(A45,Sheet1!C:F,2,0)</f>
        <v>غاز مصر</v>
      </c>
      <c r="D45" s="18" t="s">
        <v>41</v>
      </c>
      <c r="E45" s="18">
        <f>VLOOKUP(C45,Sheet2!A:N,4,0)</f>
        <v>51.5</v>
      </c>
      <c r="F45" s="18">
        <f>VLOOKUP(C45,Sheet2!A:N,5,0)</f>
        <v>51.5</v>
      </c>
      <c r="G45" s="18">
        <f>VLOOKUP(C45,Sheet2!A:N,6,0)</f>
        <v>51.15</v>
      </c>
      <c r="H45" s="18">
        <f>VLOOKUP(C45,Sheet2!A:N,7,0)</f>
        <v>-0.68</v>
      </c>
      <c r="I45" s="18">
        <f>VLOOKUP(C45,Sheet2!A:N,8,0)</f>
        <v>51.15</v>
      </c>
      <c r="J45" s="18">
        <f>VLOOKUP(C45,Sheet2!A:N,9,0)</f>
        <v>52.5</v>
      </c>
      <c r="K45" s="18">
        <f>VLOOKUP(C45,Sheet2!A:N,10,0)</f>
        <v>51.15</v>
      </c>
      <c r="L45" s="20">
        <f>VLOOKUP(C45,Sheet2!A:N,11,0)</f>
        <v>3796864.17</v>
      </c>
      <c r="M45" s="21">
        <f>VLOOKUP(C45,Sheet2!A:N,12,0)</f>
        <v>73334</v>
      </c>
      <c r="N45" s="18">
        <f>VLOOKUP(C45,Sheet2!A:N,13,0)</f>
        <v>232</v>
      </c>
      <c r="O45" s="21">
        <f>VLOOKUP(C45,Sheet2!A:N,14,0)</f>
        <v>7377</v>
      </c>
    </row>
    <row r="46" spans="1:15" x14ac:dyDescent="0.25">
      <c r="A46" s="19" t="s">
        <v>472</v>
      </c>
      <c r="B46" s="18" t="str">
        <f t="shared" si="0"/>
        <v>روبكس العالميه لتصنيع البلاستيك والاكريلك</v>
      </c>
      <c r="C46" s="18" t="str">
        <f>VLOOKUP(A46,Sheet1!C:F,2,0)</f>
        <v>روبكس العالميه لتصنيع البلاستيك والاكريلك</v>
      </c>
      <c r="D46" s="18" t="s">
        <v>93</v>
      </c>
      <c r="E46" s="18">
        <f>VLOOKUP(C46,Sheet2!A:N,4,0)</f>
        <v>9.86</v>
      </c>
      <c r="F46" s="18">
        <f>VLOOKUP(C46,Sheet2!A:N,5,0)</f>
        <v>9.86</v>
      </c>
      <c r="G46" s="18">
        <f>VLOOKUP(C46,Sheet2!A:N,6,0)</f>
        <v>9.9600000000000009</v>
      </c>
      <c r="H46" s="18">
        <f>VLOOKUP(C46,Sheet2!A:N,7,0)</f>
        <v>1.01</v>
      </c>
      <c r="I46" s="18">
        <f>VLOOKUP(C46,Sheet2!A:N,8,0)</f>
        <v>9.9600000000000009</v>
      </c>
      <c r="J46" s="18">
        <f>VLOOKUP(C46,Sheet2!A:N,9,0)</f>
        <v>10.199999999999999</v>
      </c>
      <c r="K46" s="18">
        <f>VLOOKUP(C46,Sheet2!A:N,10,0)</f>
        <v>9.8000000000000007</v>
      </c>
      <c r="L46" s="20">
        <f>VLOOKUP(C46,Sheet2!A:N,11,0)</f>
        <v>6278242.7800000003</v>
      </c>
      <c r="M46" s="21">
        <f>VLOOKUP(C46,Sheet2!A:N,12,0)</f>
        <v>626090</v>
      </c>
      <c r="N46" s="18">
        <f>VLOOKUP(C46,Sheet2!A:N,13,0)</f>
        <v>360</v>
      </c>
      <c r="O46" s="21">
        <f>VLOOKUP(C46,Sheet2!A:N,14,0)</f>
        <v>613</v>
      </c>
    </row>
    <row r="47" spans="1:15" x14ac:dyDescent="0.25">
      <c r="A47" s="19" t="s">
        <v>473</v>
      </c>
      <c r="B47" s="18" t="str">
        <f t="shared" si="0"/>
        <v>ليسيكو مصر</v>
      </c>
      <c r="C47" s="18" t="str">
        <f>VLOOKUP(A47,Sheet1!C:F,2,0)</f>
        <v>ليسيكو مصر</v>
      </c>
      <c r="D47" s="18" t="s">
        <v>93</v>
      </c>
      <c r="E47" s="18">
        <f>VLOOKUP(C47,Sheet2!A:N,4,0)</f>
        <v>26.6</v>
      </c>
      <c r="F47" s="18">
        <f>VLOOKUP(C47,Sheet2!A:N,5,0)</f>
        <v>26.6</v>
      </c>
      <c r="G47" s="18">
        <f>VLOOKUP(C47,Sheet2!A:N,6,0)</f>
        <v>27.2</v>
      </c>
      <c r="H47" s="18">
        <f>VLOOKUP(C47,Sheet2!A:N,7,0)</f>
        <v>2.2599999999999998</v>
      </c>
      <c r="I47" s="18">
        <f>VLOOKUP(C47,Sheet2!A:N,8,0)</f>
        <v>27.2</v>
      </c>
      <c r="J47" s="18">
        <f>VLOOKUP(C47,Sheet2!A:N,9,0)</f>
        <v>27.39</v>
      </c>
      <c r="K47" s="18">
        <f>VLOOKUP(C47,Sheet2!A:N,10,0)</f>
        <v>26.66</v>
      </c>
      <c r="L47" s="20">
        <f>VLOOKUP(C47,Sheet2!A:N,11,0)</f>
        <v>6496813.3700000001</v>
      </c>
      <c r="M47" s="21">
        <f>VLOOKUP(C47,Sheet2!A:N,12,0)</f>
        <v>239613</v>
      </c>
      <c r="N47" s="18">
        <f>VLOOKUP(C47,Sheet2!A:N,13,0)</f>
        <v>224</v>
      </c>
      <c r="O47" s="21">
        <f>VLOOKUP(C47,Sheet2!A:N,14,0)</f>
        <v>2176</v>
      </c>
    </row>
    <row r="48" spans="1:15" x14ac:dyDescent="0.25">
      <c r="A48" s="19" t="s">
        <v>308</v>
      </c>
      <c r="B48" s="18" t="str">
        <f t="shared" si="0"/>
        <v>مصر للاسمنت - قنا</v>
      </c>
      <c r="C48" s="18" t="str">
        <f>VLOOKUP(A48,Sheet1!C:F,2,0)</f>
        <v>مصر للاسمنت - قنا</v>
      </c>
      <c r="D48" s="18" t="s">
        <v>93</v>
      </c>
      <c r="E48" s="18">
        <f>VLOOKUP(C48,Sheet2!A:N,4,0)</f>
        <v>178.81</v>
      </c>
      <c r="F48" s="18">
        <f>VLOOKUP(C48,Sheet2!A:N,5,0)</f>
        <v>178.81</v>
      </c>
      <c r="G48" s="18">
        <f>VLOOKUP(C48,Sheet2!A:N,6,0)</f>
        <v>176.75</v>
      </c>
      <c r="H48" s="18">
        <f>VLOOKUP(C48,Sheet2!A:N,7,0)</f>
        <v>-1.1499999999999999</v>
      </c>
      <c r="I48" s="18">
        <f>VLOOKUP(C48,Sheet2!A:N,8,0)</f>
        <v>176.75</v>
      </c>
      <c r="J48" s="18">
        <f>VLOOKUP(C48,Sheet2!A:N,9,0)</f>
        <v>180.5</v>
      </c>
      <c r="K48" s="18">
        <f>VLOOKUP(C48,Sheet2!A:N,10,0)</f>
        <v>176.4</v>
      </c>
      <c r="L48" s="20">
        <f>VLOOKUP(C48,Sheet2!A:N,11,0)</f>
        <v>6128939.8300000001</v>
      </c>
      <c r="M48" s="21">
        <f>VLOOKUP(C48,Sheet2!A:N,12,0)</f>
        <v>34484</v>
      </c>
      <c r="N48" s="18">
        <f>VLOOKUP(C48,Sheet2!A:N,13,0)</f>
        <v>486</v>
      </c>
      <c r="O48" s="21">
        <f>VLOOKUP(C48,Sheet2!A:N,14,0)</f>
        <v>16968</v>
      </c>
    </row>
    <row r="49" spans="1:15" x14ac:dyDescent="0.25">
      <c r="A49" s="19" t="s">
        <v>474</v>
      </c>
      <c r="B49" s="18" t="str">
        <f t="shared" si="0"/>
        <v>اجواء للصناعات الغذائية - مصر</v>
      </c>
      <c r="C49" s="18" t="str">
        <f>VLOOKUP(A49,Sheet1!C:F,2,0)</f>
        <v>اجواء للصناعات الغذائية - مصر</v>
      </c>
      <c r="D49" s="18" t="s">
        <v>48</v>
      </c>
      <c r="E49" s="18">
        <f>VLOOKUP(C49,Sheet2!A:N,4,0)</f>
        <v>170.69</v>
      </c>
      <c r="F49" s="18">
        <f>VLOOKUP(C49,Sheet2!A:N,5,0)</f>
        <v>170.69</v>
      </c>
      <c r="G49" s="18">
        <f>VLOOKUP(C49,Sheet2!A:N,6,0)</f>
        <v>182</v>
      </c>
      <c r="H49" s="18">
        <f>VLOOKUP(C49,Sheet2!A:N,7,0)</f>
        <v>6.63</v>
      </c>
      <c r="I49" s="18">
        <f>VLOOKUP(C49,Sheet2!A:N,8,0)</f>
        <v>182</v>
      </c>
      <c r="J49" s="18">
        <f>VLOOKUP(C49,Sheet2!A:N,9,0)</f>
        <v>188.5</v>
      </c>
      <c r="K49" s="18">
        <f>VLOOKUP(C49,Sheet2!A:N,10,0)</f>
        <v>172.98</v>
      </c>
      <c r="L49" s="20">
        <f>VLOOKUP(C49,Sheet2!A:N,11,0)</f>
        <v>59275171.039999999</v>
      </c>
      <c r="M49" s="21">
        <f>VLOOKUP(C49,Sheet2!A:N,12,0)</f>
        <v>326899</v>
      </c>
      <c r="N49" s="18">
        <f>VLOOKUP(C49,Sheet2!A:N,13,0)</f>
        <v>1335</v>
      </c>
      <c r="O49" s="21">
        <f>VLOOKUP(C49,Sheet2!A:N,14,0)</f>
        <v>3657</v>
      </c>
    </row>
    <row r="50" spans="1:15" x14ac:dyDescent="0.25">
      <c r="A50" s="19" t="s">
        <v>295</v>
      </c>
      <c r="B50" s="18" t="str">
        <f t="shared" si="0"/>
        <v>البنك المصري لتنمية الصادرات</v>
      </c>
      <c r="C50" s="18" t="str">
        <f>VLOOKUP(A50,Sheet1!C:F,2,0)</f>
        <v>البنك المصري لتنمية الصادرات</v>
      </c>
      <c r="D50" s="18" t="s">
        <v>49</v>
      </c>
      <c r="E50" s="18">
        <f>VLOOKUP(C50,Sheet2!A:N,4,0)</f>
        <v>18.64</v>
      </c>
      <c r="F50" s="18">
        <f>VLOOKUP(C50,Sheet2!A:N,5,0)</f>
        <v>18.64</v>
      </c>
      <c r="G50" s="18">
        <f>VLOOKUP(C50,Sheet2!A:N,6,0)</f>
        <v>18.66</v>
      </c>
      <c r="H50" s="18">
        <f>VLOOKUP(C50,Sheet2!A:N,7,0)</f>
        <v>0.11</v>
      </c>
      <c r="I50" s="18">
        <f>VLOOKUP(C50,Sheet2!A:N,8,0)</f>
        <v>18.66</v>
      </c>
      <c r="J50" s="18">
        <f>VLOOKUP(C50,Sheet2!A:N,9,0)</f>
        <v>18.72</v>
      </c>
      <c r="K50" s="18">
        <f>VLOOKUP(C50,Sheet2!A:N,10,0)</f>
        <v>18.54</v>
      </c>
      <c r="L50" s="20">
        <f>VLOOKUP(C50,Sheet2!A:N,11,0)</f>
        <v>27287542.129999999</v>
      </c>
      <c r="M50" s="21">
        <f>VLOOKUP(C50,Sheet2!A:N,12,0)</f>
        <v>1467220</v>
      </c>
      <c r="N50" s="18">
        <f>VLOOKUP(C50,Sheet2!A:N,13,0)</f>
        <v>337</v>
      </c>
      <c r="O50" s="21">
        <f>VLOOKUP(C50,Sheet2!A:N,14,0)</f>
        <v>25378</v>
      </c>
    </row>
    <row r="51" spans="1:15" x14ac:dyDescent="0.25">
      <c r="A51" s="19" t="s">
        <v>373</v>
      </c>
      <c r="B51" s="18" t="str">
        <f t="shared" si="0"/>
        <v>المهندس للتأمين</v>
      </c>
      <c r="C51" s="18" t="str">
        <f>VLOOKUP(A51,Sheet1!C:F,2,0)</f>
        <v>المهندس للتأمين</v>
      </c>
      <c r="D51" s="18" t="s">
        <v>44</v>
      </c>
      <c r="E51" s="18">
        <f>VLOOKUP(C51,Sheet2!A:N,4,0)</f>
        <v>24.88</v>
      </c>
      <c r="F51" s="18">
        <f>VLOOKUP(C51,Sheet2!A:N,5,0)</f>
        <v>24.88</v>
      </c>
      <c r="G51" s="18">
        <f>VLOOKUP(C51,Sheet2!A:N,6,0)</f>
        <v>24.34</v>
      </c>
      <c r="H51" s="18">
        <f>VLOOKUP(C51,Sheet2!A:N,7,0)</f>
        <v>-2.17</v>
      </c>
      <c r="I51" s="18">
        <f>VLOOKUP(C51,Sheet2!A:N,8,0)</f>
        <v>24.31</v>
      </c>
      <c r="J51" s="18">
        <f>VLOOKUP(C51,Sheet2!A:N,9,0)</f>
        <v>24.97</v>
      </c>
      <c r="K51" s="18">
        <f>VLOOKUP(C51,Sheet2!A:N,10,0)</f>
        <v>24.3</v>
      </c>
      <c r="L51" s="20">
        <f>VLOOKUP(C51,Sheet2!A:N,11,0)</f>
        <v>1450905.57</v>
      </c>
      <c r="M51" s="21">
        <f>VLOOKUP(C51,Sheet2!A:N,12,0)</f>
        <v>59497</v>
      </c>
      <c r="N51" s="18">
        <f>VLOOKUP(C51,Sheet2!A:N,13,0)</f>
        <v>60</v>
      </c>
      <c r="O51" s="21">
        <f>VLOOKUP(C51,Sheet2!A:N,14,0)</f>
        <v>6328</v>
      </c>
    </row>
    <row r="52" spans="1:15" x14ac:dyDescent="0.25">
      <c r="A52" s="19" t="s">
        <v>264</v>
      </c>
      <c r="B52" s="18" t="str">
        <f t="shared" si="0"/>
        <v>مجموعة اي اف جي القابضة</v>
      </c>
      <c r="C52" s="18" t="str">
        <f>VLOOKUP(A52,Sheet1!C:F,2,0)</f>
        <v>مجموعة اي اف جي القابضة</v>
      </c>
      <c r="D52" s="18" t="s">
        <v>44</v>
      </c>
      <c r="E52" s="18">
        <f>VLOOKUP(C52,Sheet2!A:N,4,0)</f>
        <v>27.03</v>
      </c>
      <c r="F52" s="18">
        <f>VLOOKUP(C52,Sheet2!A:N,5,0)</f>
        <v>27.03</v>
      </c>
      <c r="G52" s="18">
        <f>VLOOKUP(C52,Sheet2!A:N,6,0)</f>
        <v>27.9</v>
      </c>
      <c r="H52" s="18">
        <f>VLOOKUP(C52,Sheet2!A:N,7,0)</f>
        <v>3.22</v>
      </c>
      <c r="I52" s="18">
        <f>VLOOKUP(C52,Sheet2!A:N,8,0)</f>
        <v>27.9</v>
      </c>
      <c r="J52" s="18">
        <f>VLOOKUP(C52,Sheet2!A:N,9,0)</f>
        <v>27.9</v>
      </c>
      <c r="K52" s="18">
        <f>VLOOKUP(C52,Sheet2!A:N,10,0)</f>
        <v>27.1</v>
      </c>
      <c r="L52" s="20">
        <f>VLOOKUP(C52,Sheet2!A:N,11,0)</f>
        <v>439748394.10000002</v>
      </c>
      <c r="M52" s="21">
        <f>VLOOKUP(C52,Sheet2!A:N,12,0)</f>
        <v>15970540</v>
      </c>
      <c r="N52" s="18">
        <f>VLOOKUP(C52,Sheet2!A:N,13,0)</f>
        <v>3161</v>
      </c>
      <c r="O52" s="21">
        <f>VLOOKUP(C52,Sheet2!A:N,14,0)</f>
        <v>40061</v>
      </c>
    </row>
    <row r="53" spans="1:15" x14ac:dyDescent="0.25">
      <c r="A53" s="19" t="s">
        <v>477</v>
      </c>
      <c r="B53" s="18" t="str">
        <f t="shared" si="0"/>
        <v>الشمس للاسكان والتعمير</v>
      </c>
      <c r="C53" s="18" t="str">
        <f>VLOOKUP(A53,Sheet1!C:F,2,0)</f>
        <v>الشمس للاسكان والتعمير</v>
      </c>
      <c r="D53" s="18" t="s">
        <v>40</v>
      </c>
      <c r="E53" s="18">
        <f>VLOOKUP(C53,Sheet2!A:N,4,0)</f>
        <v>12.96</v>
      </c>
      <c r="F53" s="18">
        <f>VLOOKUP(C53,Sheet2!A:N,5,0)</f>
        <v>12.96</v>
      </c>
      <c r="G53" s="18">
        <f>VLOOKUP(C53,Sheet2!A:N,6,0)</f>
        <v>13.66</v>
      </c>
      <c r="H53" s="18">
        <f>VLOOKUP(C53,Sheet2!A:N,7,0)</f>
        <v>5.4</v>
      </c>
      <c r="I53" s="18">
        <f>VLOOKUP(C53,Sheet2!A:N,8,0)</f>
        <v>13.66</v>
      </c>
      <c r="J53" s="18">
        <f>VLOOKUP(C53,Sheet2!A:N,9,0)</f>
        <v>13.99</v>
      </c>
      <c r="K53" s="18">
        <f>VLOOKUP(C53,Sheet2!A:N,10,0)</f>
        <v>12.85</v>
      </c>
      <c r="L53" s="20">
        <f>VLOOKUP(C53,Sheet2!A:N,11,0)</f>
        <v>249037077.16</v>
      </c>
      <c r="M53" s="21">
        <f>VLOOKUP(C53,Sheet2!A:N,12,0)</f>
        <v>18277477</v>
      </c>
      <c r="N53" s="18">
        <f>VLOOKUP(C53,Sheet2!A:N,13,0)</f>
        <v>3726</v>
      </c>
      <c r="O53" s="21">
        <f>VLOOKUP(C53,Sheet2!A:N,14,0)</f>
        <v>3099</v>
      </c>
    </row>
    <row r="54" spans="1:15" x14ac:dyDescent="0.25">
      <c r="A54" s="19" t="s">
        <v>547</v>
      </c>
      <c r="B54" s="18" t="str">
        <f t="shared" si="0"/>
        <v>المجموعه المصريه العقاريه</v>
      </c>
      <c r="C54" s="18" t="str">
        <f>VLOOKUP(A54,Sheet1!C:F,2,0)</f>
        <v>المجموعه المصريه العقاريه</v>
      </c>
      <c r="D54" s="18" t="s">
        <v>40</v>
      </c>
      <c r="E54" s="18">
        <f>VLOOKUP(C54,Sheet2!A:N,4,0)</f>
        <v>1.61</v>
      </c>
      <c r="F54" s="18">
        <f>VLOOKUP(C54,Sheet2!A:N,5,0)</f>
        <v>1.61</v>
      </c>
      <c r="G54" s="18">
        <f>VLOOKUP(C54,Sheet2!A:N,6,0)</f>
        <v>1.57</v>
      </c>
      <c r="H54" s="18">
        <f>VLOOKUP(C54,Sheet2!A:N,7,0)</f>
        <v>-2.48</v>
      </c>
      <c r="I54" s="18">
        <f>VLOOKUP(C54,Sheet2!A:N,8,0)</f>
        <v>1.57</v>
      </c>
      <c r="J54" s="18">
        <f>VLOOKUP(C54,Sheet2!A:N,9,0)</f>
        <v>1.64</v>
      </c>
      <c r="K54" s="18">
        <f>VLOOKUP(C54,Sheet2!A:N,10,0)</f>
        <v>1.57</v>
      </c>
      <c r="L54" s="20">
        <f>VLOOKUP(C54,Sheet2!A:N,11,0)</f>
        <v>26616764.219999999</v>
      </c>
      <c r="M54" s="21">
        <f>VLOOKUP(C54,Sheet2!A:N,12,0)</f>
        <v>16605896</v>
      </c>
      <c r="N54" s="18">
        <f>VLOOKUP(C54,Sheet2!A:N,13,0)</f>
        <v>661</v>
      </c>
      <c r="O54" s="21">
        <f>VLOOKUP(C54,Sheet2!A:N,14,0)</f>
        <v>628</v>
      </c>
    </row>
    <row r="55" spans="1:15" x14ac:dyDescent="0.25">
      <c r="A55" s="19" t="s">
        <v>479</v>
      </c>
      <c r="B55" s="18" t="str">
        <f t="shared" si="0"/>
        <v>رمكو لانشاء القرى السياحيه</v>
      </c>
      <c r="C55" s="18" t="str">
        <f>VLOOKUP(A55,Sheet1!C:F,2,0)</f>
        <v>رمكو لانشاء القرى السياحيه</v>
      </c>
      <c r="D55" s="18" t="s">
        <v>67</v>
      </c>
      <c r="E55" s="18">
        <f>VLOOKUP(C55,Sheet2!A:N,4,0)</f>
        <v>3.85</v>
      </c>
      <c r="F55" s="18">
        <f>VLOOKUP(C55,Sheet2!A:N,5,0)</f>
        <v>3.85</v>
      </c>
      <c r="G55" s="18">
        <f>VLOOKUP(C55,Sheet2!A:N,6,0)</f>
        <v>3.83</v>
      </c>
      <c r="H55" s="18">
        <f>VLOOKUP(C55,Sheet2!A:N,7,0)</f>
        <v>-0.52</v>
      </c>
      <c r="I55" s="18">
        <f>VLOOKUP(C55,Sheet2!A:N,8,0)</f>
        <v>3.83</v>
      </c>
      <c r="J55" s="18">
        <f>VLOOKUP(C55,Sheet2!A:N,9,0)</f>
        <v>3.93</v>
      </c>
      <c r="K55" s="18">
        <f>VLOOKUP(C55,Sheet2!A:N,10,0)</f>
        <v>3.83</v>
      </c>
      <c r="L55" s="20">
        <f>VLOOKUP(C55,Sheet2!A:N,11,0)</f>
        <v>6832529.2800000003</v>
      </c>
      <c r="M55" s="21">
        <f>VLOOKUP(C55,Sheet2!A:N,12,0)</f>
        <v>1766369</v>
      </c>
      <c r="N55" s="18">
        <f>VLOOKUP(C55,Sheet2!A:N,13,0)</f>
        <v>204</v>
      </c>
      <c r="O55" s="21">
        <f>VLOOKUP(C55,Sheet2!A:N,14,0)</f>
        <v>945</v>
      </c>
    </row>
    <row r="56" spans="1:15" x14ac:dyDescent="0.25">
      <c r="A56" s="19" t="s">
        <v>280</v>
      </c>
      <c r="B56" s="18" t="str">
        <f t="shared" si="0"/>
        <v>اوراسكوم للتنمية مصر</v>
      </c>
      <c r="C56" s="18" t="str">
        <f>VLOOKUP(A56,Sheet1!C:F,2,0)</f>
        <v>اوراسكوم للتنمية مصر</v>
      </c>
      <c r="D56" s="18" t="s">
        <v>40</v>
      </c>
      <c r="E56" s="18">
        <f>VLOOKUP(C56,Sheet2!A:N,4,0)</f>
        <v>37.15</v>
      </c>
      <c r="F56" s="18">
        <f>VLOOKUP(C56,Sheet2!A:N,5,0)</f>
        <v>37.15</v>
      </c>
      <c r="G56" s="18">
        <f>VLOOKUP(C56,Sheet2!A:N,6,0)</f>
        <v>37.39</v>
      </c>
      <c r="H56" s="18">
        <f>VLOOKUP(C56,Sheet2!A:N,7,0)</f>
        <v>0.65</v>
      </c>
      <c r="I56" s="18">
        <f>VLOOKUP(C56,Sheet2!A:N,8,0)</f>
        <v>37.39</v>
      </c>
      <c r="J56" s="18">
        <f>VLOOKUP(C56,Sheet2!A:N,9,0)</f>
        <v>37.799999999999997</v>
      </c>
      <c r="K56" s="18">
        <f>VLOOKUP(C56,Sheet2!A:N,10,0)</f>
        <v>37.08</v>
      </c>
      <c r="L56" s="20">
        <f>VLOOKUP(C56,Sheet2!A:N,11,0)</f>
        <v>118224869.91</v>
      </c>
      <c r="M56" s="21">
        <f>VLOOKUP(C56,Sheet2!A:N,12,0)</f>
        <v>3159852</v>
      </c>
      <c r="N56" s="18">
        <f>VLOOKUP(C56,Sheet2!A:N,13,0)</f>
        <v>2116</v>
      </c>
      <c r="O56" s="21">
        <f>VLOOKUP(C56,Sheet2!A:N,14,0)</f>
        <v>42268</v>
      </c>
    </row>
    <row r="57" spans="1:15" x14ac:dyDescent="0.25">
      <c r="A57" s="19" t="s">
        <v>550</v>
      </c>
      <c r="B57" s="18" t="str">
        <f t="shared" si="0"/>
        <v>الغربية الاسلامية للتنمية العمرانية</v>
      </c>
      <c r="C57" s="18" t="str">
        <f>VLOOKUP(A57,Sheet1!C:F,2,0)</f>
        <v>الغربية الاسلامية للتنمية العمرانية</v>
      </c>
      <c r="D57" s="18" t="s">
        <v>40</v>
      </c>
      <c r="E57" s="18">
        <f>VLOOKUP(C57,Sheet2!A:N,4,0)</f>
        <v>41.35</v>
      </c>
      <c r="F57" s="18">
        <f>VLOOKUP(C57,Sheet2!A:N,5,0)</f>
        <v>41.35</v>
      </c>
      <c r="G57" s="18">
        <f>VLOOKUP(C57,Sheet2!A:N,6,0)</f>
        <v>41.4</v>
      </c>
      <c r="H57" s="18">
        <f>VLOOKUP(C57,Sheet2!A:N,7,0)</f>
        <v>0.12</v>
      </c>
      <c r="I57" s="18">
        <f>VLOOKUP(C57,Sheet2!A:N,8,0)</f>
        <v>41.2</v>
      </c>
      <c r="J57" s="18">
        <f>VLOOKUP(C57,Sheet2!A:N,9,0)</f>
        <v>42.49</v>
      </c>
      <c r="K57" s="18">
        <f>VLOOKUP(C57,Sheet2!A:N,10,0)</f>
        <v>41.13</v>
      </c>
      <c r="L57" s="20">
        <f>VLOOKUP(C57,Sheet2!A:N,11,0)</f>
        <v>2120084.39</v>
      </c>
      <c r="M57" s="21">
        <f>VLOOKUP(C57,Sheet2!A:N,12,0)</f>
        <v>50622</v>
      </c>
      <c r="N57" s="18">
        <f>VLOOKUP(C57,Sheet2!A:N,13,0)</f>
        <v>98</v>
      </c>
      <c r="O57" s="21">
        <f>VLOOKUP(C57,Sheet2!A:N,14,0)</f>
        <v>233</v>
      </c>
    </row>
    <row r="58" spans="1:15" x14ac:dyDescent="0.25">
      <c r="A58" s="19" t="s">
        <v>333</v>
      </c>
      <c r="B58" s="18" t="str">
        <f t="shared" si="0"/>
        <v>مدينة مصر للاسكان والتعمير</v>
      </c>
      <c r="C58" s="18" t="str">
        <f>VLOOKUP(A58,Sheet1!C:F,2,0)</f>
        <v>مدينة مصر للاسكان والتعمير</v>
      </c>
      <c r="D58" s="18" t="s">
        <v>40</v>
      </c>
      <c r="E58" s="18">
        <f>VLOOKUP(C58,Sheet2!A:N,4,0)</f>
        <v>7.13</v>
      </c>
      <c r="F58" s="18">
        <f>VLOOKUP(C58,Sheet2!A:N,5,0)</f>
        <v>7.13</v>
      </c>
      <c r="G58" s="18">
        <f>VLOOKUP(C58,Sheet2!A:N,6,0)</f>
        <v>7.3</v>
      </c>
      <c r="H58" s="18">
        <f>VLOOKUP(C58,Sheet2!A:N,7,0)</f>
        <v>2.38</v>
      </c>
      <c r="I58" s="18">
        <f>VLOOKUP(C58,Sheet2!A:N,8,0)</f>
        <v>7.3</v>
      </c>
      <c r="J58" s="18">
        <f>VLOOKUP(C58,Sheet2!A:N,9,0)</f>
        <v>7.4</v>
      </c>
      <c r="K58" s="18">
        <f>VLOOKUP(C58,Sheet2!A:N,10,0)</f>
        <v>7.05</v>
      </c>
      <c r="L58" s="20">
        <f>VLOOKUP(C58,Sheet2!A:N,11,0)</f>
        <v>76534108.260000005</v>
      </c>
      <c r="M58" s="21">
        <f>VLOOKUP(C58,Sheet2!A:N,12,0)</f>
        <v>10553166</v>
      </c>
      <c r="N58" s="18">
        <f>VLOOKUP(C58,Sheet2!A:N,13,0)</f>
        <v>1368</v>
      </c>
      <c r="O58" s="21">
        <f>VLOOKUP(C58,Sheet2!A:N,14,0)</f>
        <v>15586</v>
      </c>
    </row>
    <row r="59" spans="1:15" x14ac:dyDescent="0.25">
      <c r="A59" s="19" t="s">
        <v>288</v>
      </c>
      <c r="B59" s="18" t="str">
        <f t="shared" si="0"/>
        <v>السادس من اكتوبر للتنميه والاستثمار- سوديك</v>
      </c>
      <c r="C59" s="18" t="str">
        <f>VLOOKUP(A59,Sheet1!C:F,2,0)</f>
        <v>السادس من اكتوبر للتنميه والاستثمار- سوديك</v>
      </c>
      <c r="D59" s="18" t="s">
        <v>40</v>
      </c>
      <c r="E59" s="18">
        <f>VLOOKUP(C59,Sheet2!A:N,4,0)</f>
        <v>20.65</v>
      </c>
      <c r="F59" s="18">
        <f>VLOOKUP(C59,Sheet2!A:N,5,0)</f>
        <v>20.65</v>
      </c>
      <c r="G59" s="18">
        <f>VLOOKUP(C59,Sheet2!A:N,6,0)</f>
        <v>20.71</v>
      </c>
      <c r="H59" s="18">
        <f>VLOOKUP(C59,Sheet2!A:N,7,0)</f>
        <v>0.28999999999999998</v>
      </c>
      <c r="I59" s="18">
        <f>VLOOKUP(C59,Sheet2!A:N,8,0)</f>
        <v>20.71</v>
      </c>
      <c r="J59" s="18">
        <f>VLOOKUP(C59,Sheet2!A:N,9,0)</f>
        <v>20.89</v>
      </c>
      <c r="K59" s="18">
        <f>VLOOKUP(C59,Sheet2!A:N,10,0)</f>
        <v>20.66</v>
      </c>
      <c r="L59" s="20">
        <f>VLOOKUP(C59,Sheet2!A:N,11,0)</f>
        <v>14683068.640000001</v>
      </c>
      <c r="M59" s="21">
        <f>VLOOKUP(C59,Sheet2!A:N,12,0)</f>
        <v>706790</v>
      </c>
      <c r="N59" s="18">
        <f>VLOOKUP(C59,Sheet2!A:N,13,0)</f>
        <v>685</v>
      </c>
      <c r="O59" s="21">
        <f>VLOOKUP(C59,Sheet2!A:N,14,0)</f>
        <v>26701</v>
      </c>
    </row>
    <row r="60" spans="1:15" x14ac:dyDescent="0.25">
      <c r="A60" s="19" t="s">
        <v>556</v>
      </c>
      <c r="B60" s="18" t="str">
        <f t="shared" si="0"/>
        <v>اصول E.S.B. للوساطة في الاوراق المالية</v>
      </c>
      <c r="C60" s="18" t="str">
        <f>VLOOKUP(A60,Sheet1!C:F,2,0)</f>
        <v>اصول E.S.B. للوساطة في الاوراق المالية</v>
      </c>
      <c r="D60" s="18" t="s">
        <v>44</v>
      </c>
      <c r="E60" s="18">
        <f>VLOOKUP(C60,Sheet2!A:N,4,0)</f>
        <v>1.89</v>
      </c>
      <c r="F60" s="18">
        <f>VLOOKUP(C60,Sheet2!A:N,5,0)</f>
        <v>1.89</v>
      </c>
      <c r="G60" s="18">
        <f>VLOOKUP(C60,Sheet2!A:N,6,0)</f>
        <v>1.9</v>
      </c>
      <c r="H60" s="18">
        <f>VLOOKUP(C60,Sheet2!A:N,7,0)</f>
        <v>0.53</v>
      </c>
      <c r="I60" s="18">
        <f>VLOOKUP(C60,Sheet2!A:N,8,0)</f>
        <v>1.9</v>
      </c>
      <c r="J60" s="18">
        <f>VLOOKUP(C60,Sheet2!A:N,9,0)</f>
        <v>1.96</v>
      </c>
      <c r="K60" s="18">
        <f>VLOOKUP(C60,Sheet2!A:N,10,0)</f>
        <v>1.83</v>
      </c>
      <c r="L60" s="20">
        <f>VLOOKUP(C60,Sheet2!A:N,11,0)</f>
        <v>1955043.72</v>
      </c>
      <c r="M60" s="21">
        <f>VLOOKUP(C60,Sheet2!A:N,12,0)</f>
        <v>1029276</v>
      </c>
      <c r="N60" s="18">
        <f>VLOOKUP(C60,Sheet2!A:N,13,0)</f>
        <v>179</v>
      </c>
      <c r="O60" s="21">
        <f>VLOOKUP(C60,Sheet2!A:N,14,0)</f>
        <v>993</v>
      </c>
    </row>
    <row r="61" spans="1:15" x14ac:dyDescent="0.25">
      <c r="A61" s="19" t="s">
        <v>349</v>
      </c>
      <c r="B61" s="18" t="str">
        <f t="shared" si="0"/>
        <v>مصر للفنادق</v>
      </c>
      <c r="C61" s="18" t="str">
        <f>VLOOKUP(A61,Sheet1!C:F,2,0)</f>
        <v>مصر للفنادق</v>
      </c>
      <c r="D61" s="18" t="s">
        <v>67</v>
      </c>
      <c r="E61" s="18">
        <f>VLOOKUP(C61,Sheet2!A:N,4,0)</f>
        <v>29.73</v>
      </c>
      <c r="F61" s="18">
        <f>VLOOKUP(C61,Sheet2!A:N,5,0)</f>
        <v>29.73</v>
      </c>
      <c r="G61" s="18">
        <f>VLOOKUP(C61,Sheet2!A:N,6,0)</f>
        <v>29.87</v>
      </c>
      <c r="H61" s="18">
        <f>VLOOKUP(C61,Sheet2!A:N,7,0)</f>
        <v>0.47</v>
      </c>
      <c r="I61" s="18">
        <f>VLOOKUP(C61,Sheet2!A:N,8,0)</f>
        <v>29.87</v>
      </c>
      <c r="J61" s="18">
        <f>VLOOKUP(C61,Sheet2!A:N,9,0)</f>
        <v>30.79</v>
      </c>
      <c r="K61" s="18">
        <f>VLOOKUP(C61,Sheet2!A:N,10,0)</f>
        <v>29.6</v>
      </c>
      <c r="L61" s="20">
        <f>VLOOKUP(C61,Sheet2!A:N,11,0)</f>
        <v>8494898.3800000008</v>
      </c>
      <c r="M61" s="21">
        <f>VLOOKUP(C61,Sheet2!A:N,12,0)</f>
        <v>281563</v>
      </c>
      <c r="N61" s="18">
        <f>VLOOKUP(C61,Sheet2!A:N,13,0)</f>
        <v>353</v>
      </c>
      <c r="O61" s="21">
        <f>VLOOKUP(C61,Sheet2!A:N,14,0)</f>
        <v>11829</v>
      </c>
    </row>
    <row r="62" spans="1:15" x14ac:dyDescent="0.25">
      <c r="A62" s="19" t="s">
        <v>483</v>
      </c>
      <c r="B62" s="18" t="str">
        <f t="shared" si="0"/>
        <v>العربية لمنتجات الألبان" آراب ديرى - باندا"</v>
      </c>
      <c r="C62" s="18" t="str">
        <f>VLOOKUP(A62,Sheet1!C:F,2,0)</f>
        <v>العربية لمنتجات الألبان" آراب ديرى - باندا"</v>
      </c>
      <c r="D62" s="18" t="s">
        <v>48</v>
      </c>
      <c r="E62" s="18">
        <f>VLOOKUP(C62,Sheet2!A:N,4,0)</f>
        <v>3.55</v>
      </c>
      <c r="F62" s="18">
        <f>VLOOKUP(C62,Sheet2!A:N,5,0)</f>
        <v>3.55</v>
      </c>
      <c r="G62" s="18">
        <f>VLOOKUP(C62,Sheet2!A:N,6,0)</f>
        <v>3.6</v>
      </c>
      <c r="H62" s="18">
        <f>VLOOKUP(C62,Sheet2!A:N,7,0)</f>
        <v>1.41</v>
      </c>
      <c r="I62" s="18">
        <f>VLOOKUP(C62,Sheet2!A:N,8,0)</f>
        <v>3.6</v>
      </c>
      <c r="J62" s="18">
        <f>VLOOKUP(C62,Sheet2!A:N,9,0)</f>
        <v>3.68</v>
      </c>
      <c r="K62" s="18">
        <f>VLOOKUP(C62,Sheet2!A:N,10,0)</f>
        <v>3.53</v>
      </c>
      <c r="L62" s="20">
        <f>VLOOKUP(C62,Sheet2!A:N,11,0)</f>
        <v>11051232.66</v>
      </c>
      <c r="M62" s="21">
        <f>VLOOKUP(C62,Sheet2!A:N,12,0)</f>
        <v>3068644</v>
      </c>
      <c r="N62" s="18">
        <f>VLOOKUP(C62,Sheet2!A:N,13,0)</f>
        <v>341</v>
      </c>
      <c r="O62" s="21">
        <f>VLOOKUP(C62,Sheet2!A:N,14,0)</f>
        <v>1800</v>
      </c>
    </row>
    <row r="63" spans="1:15" x14ac:dyDescent="0.25">
      <c r="A63" s="19" t="s">
        <v>385</v>
      </c>
      <c r="B63" s="18" t="str">
        <f t="shared" si="0"/>
        <v>المصريه لمدينة الانتاج الاعلامى</v>
      </c>
      <c r="C63" s="18" t="str">
        <f>VLOOKUP(A63,Sheet1!C:F,2,0)</f>
        <v>المصريه لمدينة الانتاج الاعلامى</v>
      </c>
      <c r="D63" s="18" t="s">
        <v>59</v>
      </c>
      <c r="E63" s="18">
        <f>VLOOKUP(C63,Sheet2!A:N,4,0)</f>
        <v>32</v>
      </c>
      <c r="F63" s="18">
        <f>VLOOKUP(C63,Sheet2!A:N,5,0)</f>
        <v>32</v>
      </c>
      <c r="G63" s="18">
        <f>VLOOKUP(C63,Sheet2!A:N,6,0)</f>
        <v>32.26</v>
      </c>
      <c r="H63" s="18">
        <f>VLOOKUP(C63,Sheet2!A:N,7,0)</f>
        <v>0.81</v>
      </c>
      <c r="I63" s="18">
        <f>VLOOKUP(C63,Sheet2!A:N,8,0)</f>
        <v>32.26</v>
      </c>
      <c r="J63" s="18">
        <f>VLOOKUP(C63,Sheet2!A:N,9,0)</f>
        <v>32.5</v>
      </c>
      <c r="K63" s="18">
        <f>VLOOKUP(C63,Sheet2!A:N,10,0)</f>
        <v>31.72</v>
      </c>
      <c r="L63" s="20">
        <f>VLOOKUP(C63,Sheet2!A:N,11,0)</f>
        <v>13081690.550000001</v>
      </c>
      <c r="M63" s="21">
        <f>VLOOKUP(C63,Sheet2!A:N,12,0)</f>
        <v>406937</v>
      </c>
      <c r="N63" s="18">
        <f>VLOOKUP(C63,Sheet2!A:N,13,0)</f>
        <v>230</v>
      </c>
      <c r="O63" s="21">
        <f>VLOOKUP(C63,Sheet2!A:N,14,0)</f>
        <v>6117</v>
      </c>
    </row>
    <row r="64" spans="1:15" x14ac:dyDescent="0.25">
      <c r="A64" s="19" t="s">
        <v>484</v>
      </c>
      <c r="B64" s="18" t="str">
        <f t="shared" si="0"/>
        <v>سماد مصر (ايجيفرت)</v>
      </c>
      <c r="C64" s="18" t="str">
        <f>VLOOKUP(A64,Sheet1!C:F,2,0)</f>
        <v>سماد مصر (ايجيفرت)</v>
      </c>
      <c r="D64" s="18" t="s">
        <v>54</v>
      </c>
      <c r="E64" s="18">
        <f>VLOOKUP(C64,Sheet2!A:N,4,0)</f>
        <v>204.19</v>
      </c>
      <c r="F64" s="18">
        <f>VLOOKUP(C64,Sheet2!A:N,5,0)</f>
        <v>204.19</v>
      </c>
      <c r="G64" s="18">
        <f>VLOOKUP(C64,Sheet2!A:N,6,0)</f>
        <v>203.84</v>
      </c>
      <c r="H64" s="18">
        <f>VLOOKUP(C64,Sheet2!A:N,7,0)</f>
        <v>-0.17</v>
      </c>
      <c r="I64" s="18">
        <f>VLOOKUP(C64,Sheet2!A:N,8,0)</f>
        <v>203.61</v>
      </c>
      <c r="J64" s="18">
        <f>VLOOKUP(C64,Sheet2!A:N,9,0)</f>
        <v>206</v>
      </c>
      <c r="K64" s="18">
        <f>VLOOKUP(C64,Sheet2!A:N,10,0)</f>
        <v>203.17</v>
      </c>
      <c r="L64" s="20">
        <f>VLOOKUP(C64,Sheet2!A:N,11,0)</f>
        <v>888619.44</v>
      </c>
      <c r="M64" s="21">
        <f>VLOOKUP(C64,Sheet2!A:N,12,0)</f>
        <v>4343</v>
      </c>
      <c r="N64" s="18">
        <f>VLOOKUP(C64,Sheet2!A:N,13,0)</f>
        <v>71</v>
      </c>
      <c r="O64" s="21">
        <f>VLOOKUP(C64,Sheet2!A:N,14,0)</f>
        <v>1957</v>
      </c>
    </row>
    <row r="65" spans="1:15" x14ac:dyDescent="0.25">
      <c r="A65" s="19" t="s">
        <v>247</v>
      </c>
      <c r="B65" s="18" t="str">
        <f t="shared" si="0"/>
        <v>بنك قطر الوطني</v>
      </c>
      <c r="C65" s="18" t="str">
        <f>VLOOKUP(A65,Sheet1!C:F,2,0)</f>
        <v>بنك قطر الوطني</v>
      </c>
      <c r="D65" s="18" t="s">
        <v>49</v>
      </c>
      <c r="E65" s="18">
        <f>VLOOKUP(C65,Sheet2!A:N,4,0)</f>
        <v>53.51</v>
      </c>
      <c r="F65" s="18">
        <f>VLOOKUP(C65,Sheet2!A:N,5,0)</f>
        <v>53.51</v>
      </c>
      <c r="G65" s="18">
        <f>VLOOKUP(C65,Sheet2!A:N,6,0)</f>
        <v>53.29</v>
      </c>
      <c r="H65" s="18">
        <f>VLOOKUP(C65,Sheet2!A:N,7,0)</f>
        <v>-0.41</v>
      </c>
      <c r="I65" s="18">
        <f>VLOOKUP(C65,Sheet2!A:N,8,0)</f>
        <v>53.25</v>
      </c>
      <c r="J65" s="18">
        <f>VLOOKUP(C65,Sheet2!A:N,9,0)</f>
        <v>54</v>
      </c>
      <c r="K65" s="18">
        <f>VLOOKUP(C65,Sheet2!A:N,10,0)</f>
        <v>53.01</v>
      </c>
      <c r="L65" s="20">
        <f>VLOOKUP(C65,Sheet2!A:N,11,0)</f>
        <v>3916224.16</v>
      </c>
      <c r="M65" s="21">
        <f>VLOOKUP(C65,Sheet2!A:N,12,0)</f>
        <v>73068</v>
      </c>
      <c r="N65" s="18">
        <f>VLOOKUP(C65,Sheet2!A:N,13,0)</f>
        <v>167</v>
      </c>
      <c r="O65" s="21">
        <f>VLOOKUP(C65,Sheet2!A:N,14,0)</f>
        <v>114831</v>
      </c>
    </row>
    <row r="66" spans="1:15" x14ac:dyDescent="0.25">
      <c r="A66" s="19" t="s">
        <v>485</v>
      </c>
      <c r="B66" s="18" t="str">
        <f t="shared" si="0"/>
        <v>العربية للصناعات الهندسية</v>
      </c>
      <c r="C66" s="18" t="str">
        <f>VLOOKUP(A66,Sheet1!C:F,2,0)</f>
        <v>العربية للصناعات الهندسية</v>
      </c>
      <c r="D66" s="18" t="s">
        <v>46</v>
      </c>
      <c r="E66" s="18">
        <f>VLOOKUP(C66,Sheet2!A:N,4,0)</f>
        <v>2.37</v>
      </c>
      <c r="F66" s="18">
        <f>VLOOKUP(C66,Sheet2!A:N,5,0)</f>
        <v>2.37</v>
      </c>
      <c r="G66" s="18">
        <f>VLOOKUP(C66,Sheet2!A:N,6,0)</f>
        <v>2.42</v>
      </c>
      <c r="H66" s="18">
        <f>VLOOKUP(C66,Sheet2!A:N,7,0)</f>
        <v>2.11</v>
      </c>
      <c r="I66" s="18">
        <f>VLOOKUP(C66,Sheet2!A:N,8,0)</f>
        <v>2.42</v>
      </c>
      <c r="J66" s="18">
        <f>VLOOKUP(C66,Sheet2!A:N,9,0)</f>
        <v>2.4500000000000002</v>
      </c>
      <c r="K66" s="18">
        <f>VLOOKUP(C66,Sheet2!A:N,10,0)</f>
        <v>2.36</v>
      </c>
      <c r="L66" s="20">
        <f>VLOOKUP(C66,Sheet2!A:N,11,0)</f>
        <v>10812188.85</v>
      </c>
      <c r="M66" s="21">
        <f>VLOOKUP(C66,Sheet2!A:N,12,0)</f>
        <v>4485277</v>
      </c>
      <c r="N66" s="18">
        <f>VLOOKUP(C66,Sheet2!A:N,13,0)</f>
        <v>341</v>
      </c>
      <c r="O66" s="21">
        <f>VLOOKUP(C66,Sheet2!A:N,14,0)</f>
        <v>538</v>
      </c>
    </row>
    <row r="67" spans="1:15" x14ac:dyDescent="0.25">
      <c r="A67" s="19" t="s">
        <v>486</v>
      </c>
      <c r="B67" s="18" t="str">
        <f t="shared" ref="B67:B130" si="1">C67</f>
        <v>المصرية لخدمات النقل (ايجيترانس)</v>
      </c>
      <c r="C67" s="18" t="str">
        <f>VLOOKUP(A67,Sheet1!C:F,2,0)</f>
        <v>المصرية لخدمات النقل (ايجيترانس)</v>
      </c>
      <c r="D67" s="18" t="s">
        <v>111</v>
      </c>
      <c r="E67" s="18" t="e">
        <f>VLOOKUP(C67,Sheet2!A:N,4,0)</f>
        <v>#N/A</v>
      </c>
      <c r="F67" s="18" t="e">
        <f>VLOOKUP(C67,Sheet2!A:N,5,0)</f>
        <v>#N/A</v>
      </c>
      <c r="G67" s="18" t="e">
        <f>VLOOKUP(C67,Sheet2!A:N,6,0)</f>
        <v>#N/A</v>
      </c>
      <c r="H67" s="18" t="e">
        <f>VLOOKUP(C67,Sheet2!A:N,7,0)</f>
        <v>#N/A</v>
      </c>
      <c r="I67" s="18" t="e">
        <f>VLOOKUP(C67,Sheet2!A:N,8,0)</f>
        <v>#N/A</v>
      </c>
      <c r="J67" s="18" t="e">
        <f>VLOOKUP(C67,Sheet2!A:N,9,0)</f>
        <v>#N/A</v>
      </c>
      <c r="K67" s="18" t="e">
        <f>VLOOKUP(C67,Sheet2!A:N,10,0)</f>
        <v>#N/A</v>
      </c>
      <c r="L67" s="20" t="e">
        <f>VLOOKUP(C67,Sheet2!A:N,11,0)</f>
        <v>#N/A</v>
      </c>
      <c r="M67" s="21" t="e">
        <f>VLOOKUP(C67,Sheet2!A:N,12,0)</f>
        <v>#N/A</v>
      </c>
      <c r="N67" s="18" t="e">
        <f>VLOOKUP(C67,Sheet2!A:N,13,0)</f>
        <v>#N/A</v>
      </c>
      <c r="O67" s="21" t="e">
        <f>VLOOKUP(C67,Sheet2!A:N,14,0)</f>
        <v>#N/A</v>
      </c>
    </row>
    <row r="68" spans="1:15" x14ac:dyDescent="0.25">
      <c r="A68" s="19" t="s">
        <v>252</v>
      </c>
      <c r="B68" s="18" t="str">
        <f t="shared" si="1"/>
        <v>الاسكندرية لتداول الحاويات والبضائع</v>
      </c>
      <c r="C68" s="18" t="str">
        <f>VLOOKUP(A68,Sheet1!C:F,2,0)</f>
        <v>الاسكندرية لتداول الحاويات والبضائع</v>
      </c>
      <c r="D68" s="18" t="s">
        <v>111</v>
      </c>
      <c r="E68" s="18">
        <f>VLOOKUP(C68,Sheet2!A:N,4,0)</f>
        <v>28.85</v>
      </c>
      <c r="F68" s="18">
        <f>VLOOKUP(C68,Sheet2!A:N,5,0)</f>
        <v>28.85</v>
      </c>
      <c r="G68" s="18">
        <f>VLOOKUP(C68,Sheet2!A:N,6,0)</f>
        <v>28.61</v>
      </c>
      <c r="H68" s="18">
        <f>VLOOKUP(C68,Sheet2!A:N,7,0)</f>
        <v>-0.83</v>
      </c>
      <c r="I68" s="18">
        <f>VLOOKUP(C68,Sheet2!A:N,8,0)</f>
        <v>28.61</v>
      </c>
      <c r="J68" s="18">
        <f>VLOOKUP(C68,Sheet2!A:N,9,0)</f>
        <v>29</v>
      </c>
      <c r="K68" s="18">
        <f>VLOOKUP(C68,Sheet2!A:N,10,0)</f>
        <v>28.31</v>
      </c>
      <c r="L68" s="20">
        <f>VLOOKUP(C68,Sheet2!A:N,11,0)</f>
        <v>7776548.25</v>
      </c>
      <c r="M68" s="21">
        <f>VLOOKUP(C68,Sheet2!A:N,12,0)</f>
        <v>271819</v>
      </c>
      <c r="N68" s="18">
        <f>VLOOKUP(C68,Sheet2!A:N,13,0)</f>
        <v>561</v>
      </c>
      <c r="O68" s="21">
        <f>VLOOKUP(C68,Sheet2!A:N,14,0)</f>
        <v>85244</v>
      </c>
    </row>
    <row r="69" spans="1:15" x14ac:dyDescent="0.25">
      <c r="A69" s="19" t="s">
        <v>256</v>
      </c>
      <c r="B69" s="18" t="str">
        <f t="shared" si="1"/>
        <v>اوراسكوم كونستراكشون بي ال سي</v>
      </c>
      <c r="C69" s="18" t="str">
        <f>VLOOKUP(A69,Sheet1!C:F,2,0)</f>
        <v>اوراسكوم كونستراكشون بي ال سي</v>
      </c>
      <c r="D69" s="18" t="s">
        <v>71</v>
      </c>
      <c r="E69" s="18">
        <f>VLOOKUP(C69,Sheet2!A:N,4,0)</f>
        <v>780</v>
      </c>
      <c r="F69" s="18">
        <f>VLOOKUP(C69,Sheet2!A:N,5,0)</f>
        <v>780</v>
      </c>
      <c r="G69" s="18">
        <f>VLOOKUP(C69,Sheet2!A:N,6,0)</f>
        <v>785</v>
      </c>
      <c r="H69" s="18">
        <f>VLOOKUP(C69,Sheet2!A:N,7,0)</f>
        <v>0.64</v>
      </c>
      <c r="I69" s="18">
        <f>VLOOKUP(C69,Sheet2!A:N,8,0)</f>
        <v>785</v>
      </c>
      <c r="J69" s="18">
        <f>VLOOKUP(C69,Sheet2!A:N,9,0)</f>
        <v>788</v>
      </c>
      <c r="K69" s="18">
        <f>VLOOKUP(C69,Sheet2!A:N,10,0)</f>
        <v>780.01</v>
      </c>
      <c r="L69" s="20">
        <f>VLOOKUP(C69,Sheet2!A:N,11,0)</f>
        <v>159794277.22999999</v>
      </c>
      <c r="M69" s="21">
        <f>VLOOKUP(C69,Sheet2!A:N,12,0)</f>
        <v>203672</v>
      </c>
      <c r="N69" s="18">
        <f>VLOOKUP(C69,Sheet2!A:N,13,0)</f>
        <v>1504</v>
      </c>
      <c r="O69" s="21">
        <f>VLOOKUP(C69,Sheet2!A:N,14,0)</f>
        <v>86541</v>
      </c>
    </row>
    <row r="70" spans="1:15" x14ac:dyDescent="0.25">
      <c r="A70" s="19" t="s">
        <v>354</v>
      </c>
      <c r="B70" s="18" t="str">
        <f t="shared" si="1"/>
        <v>بى انفستمنتس القابضه</v>
      </c>
      <c r="C70" s="18" t="str">
        <f>VLOOKUP(A70,Sheet1!C:F,2,0)</f>
        <v>بى انفستمنتس القابضه</v>
      </c>
      <c r="D70" s="18" t="s">
        <v>44</v>
      </c>
      <c r="E70" s="18">
        <f>VLOOKUP(C70,Sheet2!A:N,4,0)</f>
        <v>47.89</v>
      </c>
      <c r="F70" s="18">
        <f>VLOOKUP(C70,Sheet2!A:N,5,0)</f>
        <v>47.89</v>
      </c>
      <c r="G70" s="18">
        <f>VLOOKUP(C70,Sheet2!A:N,6,0)</f>
        <v>47.25</v>
      </c>
      <c r="H70" s="18">
        <f>VLOOKUP(C70,Sheet2!A:N,7,0)</f>
        <v>-1.34</v>
      </c>
      <c r="I70" s="18">
        <f>VLOOKUP(C70,Sheet2!A:N,8,0)</f>
        <v>47.25</v>
      </c>
      <c r="J70" s="18">
        <f>VLOOKUP(C70,Sheet2!A:N,9,0)</f>
        <v>48</v>
      </c>
      <c r="K70" s="18">
        <f>VLOOKUP(C70,Sheet2!A:N,10,0)</f>
        <v>46.32</v>
      </c>
      <c r="L70" s="20">
        <f>VLOOKUP(C70,Sheet2!A:N,11,0)</f>
        <v>8749171.2799999993</v>
      </c>
      <c r="M70" s="21">
        <f>VLOOKUP(C70,Sheet2!A:N,12,0)</f>
        <v>186559</v>
      </c>
      <c r="N70" s="18">
        <f>VLOOKUP(C70,Sheet2!A:N,13,0)</f>
        <v>244</v>
      </c>
      <c r="O70" s="21">
        <f>VLOOKUP(C70,Sheet2!A:N,14,0)</f>
        <v>10318</v>
      </c>
    </row>
    <row r="71" spans="1:15" x14ac:dyDescent="0.25">
      <c r="A71" s="19" t="s">
        <v>567</v>
      </c>
      <c r="B71" s="18" t="str">
        <f t="shared" si="1"/>
        <v>الوادى العالمية للاستثمار و التنمية</v>
      </c>
      <c r="C71" s="18" t="str">
        <f>VLOOKUP(A71,Sheet1!C:F,2,0)</f>
        <v>الوادى العالمية للاستثمار و التنمية</v>
      </c>
      <c r="D71" s="18" t="s">
        <v>67</v>
      </c>
      <c r="E71" s="18">
        <f>VLOOKUP(C71,Sheet2!A:N,4,0)</f>
        <v>2.1</v>
      </c>
      <c r="F71" s="18">
        <f>VLOOKUP(C71,Sheet2!A:N,5,0)</f>
        <v>2.1</v>
      </c>
      <c r="G71" s="18">
        <f>VLOOKUP(C71,Sheet2!A:N,6,0)</f>
        <v>2.0299999999999998</v>
      </c>
      <c r="H71" s="18">
        <f>VLOOKUP(C71,Sheet2!A:N,7,0)</f>
        <v>-3.33</v>
      </c>
      <c r="I71" s="18">
        <f>VLOOKUP(C71,Sheet2!A:N,8,0)</f>
        <v>2.02</v>
      </c>
      <c r="J71" s="18">
        <f>VLOOKUP(C71,Sheet2!A:N,9,0)</f>
        <v>2.15</v>
      </c>
      <c r="K71" s="18">
        <f>VLOOKUP(C71,Sheet2!A:N,10,0)</f>
        <v>2.02</v>
      </c>
      <c r="L71" s="20">
        <f>VLOOKUP(C71,Sheet2!A:N,11,0)</f>
        <v>1581159.65</v>
      </c>
      <c r="M71" s="21">
        <f>VLOOKUP(C71,Sheet2!A:N,12,0)</f>
        <v>767980</v>
      </c>
      <c r="N71" s="18">
        <f>VLOOKUP(C71,Sheet2!A:N,13,0)</f>
        <v>36</v>
      </c>
      <c r="O71" s="21">
        <f>VLOOKUP(C71,Sheet2!A:N,14,0)</f>
        <v>369</v>
      </c>
    </row>
    <row r="72" spans="1:15" x14ac:dyDescent="0.25">
      <c r="A72" s="19" t="s">
        <v>272</v>
      </c>
      <c r="B72" s="18" t="str">
        <f t="shared" si="1"/>
        <v>جهينة للصناعات الغذائية</v>
      </c>
      <c r="C72" s="18" t="str">
        <f>VLOOKUP(A72,Sheet1!C:F,2,0)</f>
        <v>جهينة للصناعات الغذائية</v>
      </c>
      <c r="D72" s="18" t="s">
        <v>48</v>
      </c>
      <c r="E72" s="18">
        <f>VLOOKUP(C72,Sheet2!A:N,4,0)</f>
        <v>30.94</v>
      </c>
      <c r="F72" s="18">
        <f>VLOOKUP(C72,Sheet2!A:N,5,0)</f>
        <v>30.94</v>
      </c>
      <c r="G72" s="18">
        <f>VLOOKUP(C72,Sheet2!A:N,6,0)</f>
        <v>30.8</v>
      </c>
      <c r="H72" s="18">
        <f>VLOOKUP(C72,Sheet2!A:N,7,0)</f>
        <v>-0.45</v>
      </c>
      <c r="I72" s="18">
        <f>VLOOKUP(C72,Sheet2!A:N,8,0)</f>
        <v>30.8</v>
      </c>
      <c r="J72" s="18">
        <f>VLOOKUP(C72,Sheet2!A:N,9,0)</f>
        <v>31</v>
      </c>
      <c r="K72" s="18">
        <f>VLOOKUP(C72,Sheet2!A:N,10,0)</f>
        <v>30.05</v>
      </c>
      <c r="L72" s="20">
        <f>VLOOKUP(C72,Sheet2!A:N,11,0)</f>
        <v>21728962.48</v>
      </c>
      <c r="M72" s="21">
        <f>VLOOKUP(C72,Sheet2!A:N,12,0)</f>
        <v>712893</v>
      </c>
      <c r="N72" s="18">
        <f>VLOOKUP(C72,Sheet2!A:N,13,0)</f>
        <v>1023</v>
      </c>
      <c r="O72" s="21">
        <f>VLOOKUP(C72,Sheet2!A:N,14,0)</f>
        <v>36244</v>
      </c>
    </row>
    <row r="73" spans="1:15" x14ac:dyDescent="0.25">
      <c r="A73" s="19" t="s">
        <v>266</v>
      </c>
      <c r="B73" s="18" t="str">
        <f t="shared" si="1"/>
        <v>ايديتا للصناعات الغذائية</v>
      </c>
      <c r="C73" s="18" t="str">
        <f>VLOOKUP(A73,Sheet1!C:F,2,0)</f>
        <v>ايديتا للصناعات الغذائية</v>
      </c>
      <c r="D73" s="18" t="s">
        <v>48</v>
      </c>
      <c r="E73" s="18">
        <f>VLOOKUP(C73,Sheet2!A:N,4,0)</f>
        <v>28.8</v>
      </c>
      <c r="F73" s="18">
        <f>VLOOKUP(C73,Sheet2!A:N,5,0)</f>
        <v>28.8</v>
      </c>
      <c r="G73" s="18">
        <f>VLOOKUP(C73,Sheet2!A:N,6,0)</f>
        <v>28.39</v>
      </c>
      <c r="H73" s="18">
        <f>VLOOKUP(C73,Sheet2!A:N,7,0)</f>
        <v>-1.42</v>
      </c>
      <c r="I73" s="18">
        <f>VLOOKUP(C73,Sheet2!A:N,8,0)</f>
        <v>28.39</v>
      </c>
      <c r="J73" s="18">
        <f>VLOOKUP(C73,Sheet2!A:N,9,0)</f>
        <v>28.86</v>
      </c>
      <c r="K73" s="18">
        <f>VLOOKUP(C73,Sheet2!A:N,10,0)</f>
        <v>28.2</v>
      </c>
      <c r="L73" s="20">
        <f>VLOOKUP(C73,Sheet2!A:N,11,0)</f>
        <v>32954905.329999998</v>
      </c>
      <c r="M73" s="21">
        <f>VLOOKUP(C73,Sheet2!A:N,12,0)</f>
        <v>1161419</v>
      </c>
      <c r="N73" s="18">
        <f>VLOOKUP(C73,Sheet2!A:N,13,0)</f>
        <v>1869</v>
      </c>
      <c r="O73" s="21">
        <f>VLOOKUP(C73,Sheet2!A:N,14,0)</f>
        <v>39747</v>
      </c>
    </row>
    <row r="74" spans="1:15" x14ac:dyDescent="0.25">
      <c r="A74" s="19" t="s">
        <v>303</v>
      </c>
      <c r="B74" s="18" t="str">
        <f t="shared" si="1"/>
        <v>العربية للاسمنت</v>
      </c>
      <c r="C74" s="18" t="str">
        <f>VLOOKUP(A74,Sheet1!C:F,2,0)</f>
        <v>العربية للاسمنت</v>
      </c>
      <c r="D74" s="18" t="s">
        <v>93</v>
      </c>
      <c r="E74" s="18">
        <f>VLOOKUP(C74,Sheet2!A:N,4,0)</f>
        <v>56.65</v>
      </c>
      <c r="F74" s="18">
        <f>VLOOKUP(C74,Sheet2!A:N,5,0)</f>
        <v>56.65</v>
      </c>
      <c r="G74" s="18">
        <f>VLOOKUP(C74,Sheet2!A:N,6,0)</f>
        <v>56.11</v>
      </c>
      <c r="H74" s="18">
        <f>VLOOKUP(C74,Sheet2!A:N,7,0)</f>
        <v>-0.95</v>
      </c>
      <c r="I74" s="18">
        <f>VLOOKUP(C74,Sheet2!A:N,8,0)</f>
        <v>56.11</v>
      </c>
      <c r="J74" s="18">
        <f>VLOOKUP(C74,Sheet2!A:N,9,0)</f>
        <v>56.95</v>
      </c>
      <c r="K74" s="18">
        <f>VLOOKUP(C74,Sheet2!A:N,10,0)</f>
        <v>56</v>
      </c>
      <c r="L74" s="20">
        <f>VLOOKUP(C74,Sheet2!A:N,11,0)</f>
        <v>24711995.48</v>
      </c>
      <c r="M74" s="21">
        <f>VLOOKUP(C74,Sheet2!A:N,12,0)</f>
        <v>440079</v>
      </c>
      <c r="N74" s="18">
        <f>VLOOKUP(C74,Sheet2!A:N,13,0)</f>
        <v>930</v>
      </c>
      <c r="O74" s="21">
        <f>VLOOKUP(C74,Sheet2!A:N,14,0)</f>
        <v>21251</v>
      </c>
    </row>
    <row r="75" spans="1:15" x14ac:dyDescent="0.25">
      <c r="A75" s="19" t="s">
        <v>379</v>
      </c>
      <c r="B75" s="18" t="str">
        <f t="shared" si="1"/>
        <v>كونتكت المالية القابضة</v>
      </c>
      <c r="C75" s="18" t="str">
        <f>VLOOKUP(A75,Sheet1!C:F,2,0)</f>
        <v>كونتكت المالية القابضة</v>
      </c>
      <c r="D75" s="18" t="s">
        <v>44</v>
      </c>
      <c r="E75" s="18">
        <f>VLOOKUP(C75,Sheet2!A:N,4,0)</f>
        <v>4.42</v>
      </c>
      <c r="F75" s="18">
        <f>VLOOKUP(C75,Sheet2!A:N,5,0)</f>
        <v>4.42</v>
      </c>
      <c r="G75" s="18">
        <f>VLOOKUP(C75,Sheet2!A:N,6,0)</f>
        <v>4.4000000000000004</v>
      </c>
      <c r="H75" s="18">
        <f>VLOOKUP(C75,Sheet2!A:N,7,0)</f>
        <v>-0.45</v>
      </c>
      <c r="I75" s="18">
        <f>VLOOKUP(C75,Sheet2!A:N,8,0)</f>
        <v>4.4000000000000004</v>
      </c>
      <c r="J75" s="18">
        <f>VLOOKUP(C75,Sheet2!A:N,9,0)</f>
        <v>4.49</v>
      </c>
      <c r="K75" s="18">
        <f>VLOOKUP(C75,Sheet2!A:N,10,0)</f>
        <v>4.4000000000000004</v>
      </c>
      <c r="L75" s="20">
        <f>VLOOKUP(C75,Sheet2!A:N,11,0)</f>
        <v>7421893.6100000003</v>
      </c>
      <c r="M75" s="21">
        <f>VLOOKUP(C75,Sheet2!A:N,12,0)</f>
        <v>1676362</v>
      </c>
      <c r="N75" s="18">
        <f>VLOOKUP(C75,Sheet2!A:N,13,0)</f>
        <v>281</v>
      </c>
      <c r="O75" s="21">
        <f>VLOOKUP(C75,Sheet2!A:N,14,0)</f>
        <v>5267</v>
      </c>
    </row>
    <row r="76" spans="1:15" x14ac:dyDescent="0.25">
      <c r="A76" s="19" t="s">
        <v>574</v>
      </c>
      <c r="B76" s="18" t="str">
        <f t="shared" si="1"/>
        <v>ماكرو جروب للمستحضرات الطبية-ماكرو كابيتال</v>
      </c>
      <c r="C76" s="18" t="str">
        <f>VLOOKUP(A76,Sheet1!C:F,2,0)</f>
        <v>ماكرو جروب للمستحضرات الطبية-ماكرو كابيتال</v>
      </c>
      <c r="D76" s="18" t="s">
        <v>51</v>
      </c>
      <c r="E76" s="18">
        <f>VLOOKUP(C76,Sheet2!A:N,4,0)</f>
        <v>1.24</v>
      </c>
      <c r="F76" s="18">
        <f>VLOOKUP(C76,Sheet2!A:N,5,0)</f>
        <v>1.24</v>
      </c>
      <c r="G76" s="18">
        <f>VLOOKUP(C76,Sheet2!A:N,6,0)</f>
        <v>1.24</v>
      </c>
      <c r="H76" s="18">
        <f>VLOOKUP(C76,Sheet2!A:N,7,0)</f>
        <v>0</v>
      </c>
      <c r="I76" s="18">
        <f>VLOOKUP(C76,Sheet2!A:N,8,0)</f>
        <v>1.24</v>
      </c>
      <c r="J76" s="18">
        <f>VLOOKUP(C76,Sheet2!A:N,9,0)</f>
        <v>1.27</v>
      </c>
      <c r="K76" s="18">
        <f>VLOOKUP(C76,Sheet2!A:N,10,0)</f>
        <v>1.23</v>
      </c>
      <c r="L76" s="20">
        <f>VLOOKUP(C76,Sheet2!A:N,11,0)</f>
        <v>46735186.890000001</v>
      </c>
      <c r="M76" s="21">
        <f>VLOOKUP(C76,Sheet2!A:N,12,0)</f>
        <v>37499679</v>
      </c>
      <c r="N76" s="18">
        <f>VLOOKUP(C76,Sheet2!A:N,13,0)</f>
        <v>1161</v>
      </c>
      <c r="O76" s="21">
        <f>VLOOKUP(C76,Sheet2!A:N,14,0)</f>
        <v>4242</v>
      </c>
    </row>
    <row r="77" spans="1:15" x14ac:dyDescent="0.25">
      <c r="A77" s="19" t="s">
        <v>327</v>
      </c>
      <c r="B77" s="18" t="str">
        <f t="shared" si="1"/>
        <v>ابن سينا فارما</v>
      </c>
      <c r="C77" s="18" t="str">
        <f>VLOOKUP(A77,Sheet1!C:F,2,0)</f>
        <v>ابن سينا فارما</v>
      </c>
      <c r="D77" s="18" t="s">
        <v>51</v>
      </c>
      <c r="E77" s="18">
        <f>VLOOKUP(C77,Sheet2!A:N,4,0)</f>
        <v>12.16</v>
      </c>
      <c r="F77" s="18">
        <f>VLOOKUP(C77,Sheet2!A:N,5,0)</f>
        <v>12.16</v>
      </c>
      <c r="G77" s="18">
        <f>VLOOKUP(C77,Sheet2!A:N,6,0)</f>
        <v>12.07</v>
      </c>
      <c r="H77" s="18">
        <f>VLOOKUP(C77,Sheet2!A:N,7,0)</f>
        <v>-0.74</v>
      </c>
      <c r="I77" s="18">
        <f>VLOOKUP(C77,Sheet2!A:N,8,0)</f>
        <v>12.07</v>
      </c>
      <c r="J77" s="18">
        <f>VLOOKUP(C77,Sheet2!A:N,9,0)</f>
        <v>12.29</v>
      </c>
      <c r="K77" s="18">
        <f>VLOOKUP(C77,Sheet2!A:N,10,0)</f>
        <v>12.03</v>
      </c>
      <c r="L77" s="20">
        <f>VLOOKUP(C77,Sheet2!A:N,11,0)</f>
        <v>43380076.100000001</v>
      </c>
      <c r="M77" s="21">
        <f>VLOOKUP(C77,Sheet2!A:N,12,0)</f>
        <v>3562059</v>
      </c>
      <c r="N77" s="18">
        <f>VLOOKUP(C77,Sheet2!A:N,13,0)</f>
        <v>1609</v>
      </c>
      <c r="O77" s="21">
        <f>VLOOKUP(C77,Sheet2!A:N,14,0)</f>
        <v>12167</v>
      </c>
    </row>
    <row r="78" spans="1:15" x14ac:dyDescent="0.25">
      <c r="A78" s="19" t="s">
        <v>376</v>
      </c>
      <c r="B78" s="18" t="str">
        <f t="shared" si="1"/>
        <v>جلاكسو سميثكلاين</v>
      </c>
      <c r="C78" s="18" t="str">
        <f>VLOOKUP(A78,Sheet1!C:F,2,0)</f>
        <v>جلاكسو سميثكلاين</v>
      </c>
      <c r="D78" s="18" t="s">
        <v>51</v>
      </c>
      <c r="E78" s="18">
        <f>VLOOKUP(C78,Sheet2!A:N,4,0)</f>
        <v>70.84</v>
      </c>
      <c r="F78" s="18">
        <f>VLOOKUP(C78,Sheet2!A:N,5,0)</f>
        <v>70.84</v>
      </c>
      <c r="G78" s="18">
        <f>VLOOKUP(C78,Sheet2!A:N,6,0)</f>
        <v>71.819999999999993</v>
      </c>
      <c r="H78" s="18">
        <f>VLOOKUP(C78,Sheet2!A:N,7,0)</f>
        <v>1.38</v>
      </c>
      <c r="I78" s="18">
        <f>VLOOKUP(C78,Sheet2!A:N,8,0)</f>
        <v>71.819999999999993</v>
      </c>
      <c r="J78" s="18">
        <f>VLOOKUP(C78,Sheet2!A:N,9,0)</f>
        <v>72.25</v>
      </c>
      <c r="K78" s="18">
        <f>VLOOKUP(C78,Sheet2!A:N,10,0)</f>
        <v>70</v>
      </c>
      <c r="L78" s="20">
        <f>VLOOKUP(C78,Sheet2!A:N,11,0)</f>
        <v>2849739.45</v>
      </c>
      <c r="M78" s="21">
        <f>VLOOKUP(C78,Sheet2!A:N,12,0)</f>
        <v>39903</v>
      </c>
      <c r="N78" s="18">
        <f>VLOOKUP(C78,Sheet2!A:N,13,0)</f>
        <v>158</v>
      </c>
      <c r="O78" s="21">
        <f>VLOOKUP(C78,Sheet2!A:N,14,0)</f>
        <v>5998</v>
      </c>
    </row>
    <row r="79" spans="1:15" x14ac:dyDescent="0.25">
      <c r="A79" s="19" t="s">
        <v>297</v>
      </c>
      <c r="B79" s="18" t="str">
        <f t="shared" si="1"/>
        <v>المالية و الصناعية المصرية</v>
      </c>
      <c r="C79" s="18" t="str">
        <f>VLOOKUP(A79,Sheet1!C:F,2,0)</f>
        <v>المالية و الصناعية المصرية</v>
      </c>
      <c r="D79" s="18" t="s">
        <v>61</v>
      </c>
      <c r="E79" s="18">
        <f>VLOOKUP(C79,Sheet2!A:N,4,0)</f>
        <v>205.05</v>
      </c>
      <c r="F79" s="18">
        <f>VLOOKUP(C79,Sheet2!A:N,5,0)</f>
        <v>205.05</v>
      </c>
      <c r="G79" s="18">
        <f>VLOOKUP(C79,Sheet2!A:N,6,0)</f>
        <v>204.02</v>
      </c>
      <c r="H79" s="18">
        <f>VLOOKUP(C79,Sheet2!A:N,7,0)</f>
        <v>-0.5</v>
      </c>
      <c r="I79" s="18">
        <f>VLOOKUP(C79,Sheet2!A:N,8,0)</f>
        <v>205</v>
      </c>
      <c r="J79" s="18">
        <f>VLOOKUP(C79,Sheet2!A:N,9,0)</f>
        <v>205.75</v>
      </c>
      <c r="K79" s="18">
        <f>VLOOKUP(C79,Sheet2!A:N,10,0)</f>
        <v>203</v>
      </c>
      <c r="L79" s="20">
        <f>VLOOKUP(C79,Sheet2!A:N,11,0)</f>
        <v>1346042.75</v>
      </c>
      <c r="M79" s="21">
        <f>VLOOKUP(C79,Sheet2!A:N,12,0)</f>
        <v>6582</v>
      </c>
      <c r="N79" s="18">
        <f>VLOOKUP(C79,Sheet2!A:N,13,0)</f>
        <v>85</v>
      </c>
      <c r="O79" s="21">
        <f>VLOOKUP(C79,Sheet2!A:N,14,0)</f>
        <v>20402</v>
      </c>
    </row>
    <row r="80" spans="1:15" x14ac:dyDescent="0.25">
      <c r="A80" s="19" t="s">
        <v>551</v>
      </c>
      <c r="B80" s="18" t="str">
        <f t="shared" si="1"/>
        <v>العربية لاستصلاح الاراضي</v>
      </c>
      <c r="C80" s="18" t="str">
        <f>VLOOKUP(A80,Sheet1!C:F,2,0)</f>
        <v>العربية لاستصلاح الاراضي</v>
      </c>
      <c r="D80" s="18" t="s">
        <v>71</v>
      </c>
      <c r="E80" s="18">
        <f>VLOOKUP(C80,Sheet2!A:N,4,0)</f>
        <v>353.48</v>
      </c>
      <c r="F80" s="18">
        <f>VLOOKUP(C80,Sheet2!A:N,5,0)</f>
        <v>353.48</v>
      </c>
      <c r="G80" s="18">
        <f>VLOOKUP(C80,Sheet2!A:N,6,0)</f>
        <v>357.56</v>
      </c>
      <c r="H80" s="18">
        <f>VLOOKUP(C80,Sheet2!A:N,7,0)</f>
        <v>1.1499999999999999</v>
      </c>
      <c r="I80" s="18">
        <f>VLOOKUP(C80,Sheet2!A:N,8,0)</f>
        <v>353.29</v>
      </c>
      <c r="J80" s="18">
        <f>VLOOKUP(C80,Sheet2!A:N,9,0)</f>
        <v>361.5</v>
      </c>
      <c r="K80" s="18">
        <f>VLOOKUP(C80,Sheet2!A:N,10,0)</f>
        <v>350.2</v>
      </c>
      <c r="L80" s="20">
        <f>VLOOKUP(C80,Sheet2!A:N,11,0)</f>
        <v>2492238.62</v>
      </c>
      <c r="M80" s="21">
        <f>VLOOKUP(C80,Sheet2!A:N,12,0)</f>
        <v>6985</v>
      </c>
      <c r="N80" s="18">
        <f>VLOOKUP(C80,Sheet2!A:N,13,0)</f>
        <v>126</v>
      </c>
      <c r="O80" s="21">
        <f>VLOOKUP(C80,Sheet2!A:N,14,0)</f>
        <v>1859</v>
      </c>
    </row>
    <row r="81" spans="1:15" x14ac:dyDescent="0.25">
      <c r="A81" s="19" t="s">
        <v>358</v>
      </c>
      <c r="B81" s="18" t="str">
        <f t="shared" si="1"/>
        <v>الكابلات الكهربائية المصرية</v>
      </c>
      <c r="C81" s="18" t="str">
        <f>VLOOKUP(A81,Sheet1!C:F,2,0)</f>
        <v>الكابلات الكهربائية المصرية</v>
      </c>
      <c r="D81" s="18" t="s">
        <v>46</v>
      </c>
      <c r="E81" s="18">
        <f>VLOOKUP(C81,Sheet2!A:N,4,0)</f>
        <v>2.1</v>
      </c>
      <c r="F81" s="18">
        <f>VLOOKUP(C81,Sheet2!A:N,5,0)</f>
        <v>2.1</v>
      </c>
      <c r="G81" s="18">
        <f>VLOOKUP(C81,Sheet2!A:N,6,0)</f>
        <v>2.14</v>
      </c>
      <c r="H81" s="18">
        <f>VLOOKUP(C81,Sheet2!A:N,7,0)</f>
        <v>1.9</v>
      </c>
      <c r="I81" s="18">
        <f>VLOOKUP(C81,Sheet2!A:N,8,0)</f>
        <v>2.14</v>
      </c>
      <c r="J81" s="18">
        <f>VLOOKUP(C81,Sheet2!A:N,9,0)</f>
        <v>2.15</v>
      </c>
      <c r="K81" s="18">
        <f>VLOOKUP(C81,Sheet2!A:N,10,0)</f>
        <v>2.11</v>
      </c>
      <c r="L81" s="20">
        <f>VLOOKUP(C81,Sheet2!A:N,11,0)</f>
        <v>17847851.059999999</v>
      </c>
      <c r="M81" s="21">
        <f>VLOOKUP(C81,Sheet2!A:N,12,0)</f>
        <v>8354081</v>
      </c>
      <c r="N81" s="18">
        <f>VLOOKUP(C81,Sheet2!A:N,13,0)</f>
        <v>503</v>
      </c>
      <c r="O81" s="21">
        <f>VLOOKUP(C81,Sheet2!A:N,14,0)</f>
        <v>7091</v>
      </c>
    </row>
    <row r="82" spans="1:15" x14ac:dyDescent="0.25">
      <c r="A82" s="19" t="s">
        <v>578</v>
      </c>
      <c r="B82" s="18" t="str">
        <f t="shared" si="1"/>
        <v>نهر الخير للتنمية والأستثمار الزراعى والخدمات البيئية</v>
      </c>
      <c r="C82" s="18" t="str">
        <f>VLOOKUP(A82,Sheet1!C:F,2,0)</f>
        <v>نهر الخير للتنمية والأستثمار الزراعى والخدمات البيئية</v>
      </c>
      <c r="D82" s="18" t="s">
        <v>48</v>
      </c>
      <c r="E82" s="18">
        <f>VLOOKUP(C82,Sheet2!A:N,4,0)</f>
        <v>0.34899999999999998</v>
      </c>
      <c r="F82" s="18">
        <f>VLOOKUP(C82,Sheet2!A:N,5,0)</f>
        <v>0.34899999999999998</v>
      </c>
      <c r="G82" s="18">
        <f>VLOOKUP(C82,Sheet2!A:N,6,0)</f>
        <v>0.34699999999999998</v>
      </c>
      <c r="H82" s="18">
        <f>VLOOKUP(C82,Sheet2!A:N,7,0)</f>
        <v>-0.56999999999999995</v>
      </c>
      <c r="I82" s="18">
        <f>VLOOKUP(C82,Sheet2!A:N,8,0)</f>
        <v>0.34699999999999998</v>
      </c>
      <c r="J82" s="18">
        <f>VLOOKUP(C82,Sheet2!A:N,9,0)</f>
        <v>0.35299999999999998</v>
      </c>
      <c r="K82" s="18">
        <f>VLOOKUP(C82,Sheet2!A:N,10,0)</f>
        <v>0.34699999999999998</v>
      </c>
      <c r="L82" s="20">
        <f>VLOOKUP(C82,Sheet2!A:N,11,0)</f>
        <v>14129435.640000001</v>
      </c>
      <c r="M82" s="21">
        <f>VLOOKUP(C82,Sheet2!A:N,12,0)</f>
        <v>40405948</v>
      </c>
      <c r="N82" s="18">
        <f>VLOOKUP(C82,Sheet2!A:N,13,0)</f>
        <v>562</v>
      </c>
      <c r="O82" s="21">
        <f>VLOOKUP(C82,Sheet2!A:N,14,0)</f>
        <v>694</v>
      </c>
    </row>
    <row r="83" spans="1:15" x14ac:dyDescent="0.25">
      <c r="A83" s="19" t="s">
        <v>397</v>
      </c>
      <c r="B83" s="18" t="str">
        <f t="shared" si="1"/>
        <v>بايونيرز بروبرتيز للتنمية العمرانية بي ار اي جروب</v>
      </c>
      <c r="C83" s="18" t="str">
        <f>VLOOKUP(A83,Sheet1!C:F,2,0)</f>
        <v>بايونيرز بروبرتيز للتنمية العمرانية بي ار اي جروب</v>
      </c>
      <c r="D83" s="18" t="s">
        <v>40</v>
      </c>
      <c r="E83" s="18">
        <f>VLOOKUP(C83,Sheet2!A:N,4,0)</f>
        <v>6.67</v>
      </c>
      <c r="F83" s="18">
        <f>VLOOKUP(C83,Sheet2!A:N,5,0)</f>
        <v>6.67</v>
      </c>
      <c r="G83" s="18">
        <f>VLOOKUP(C83,Sheet2!A:N,6,0)</f>
        <v>7.82</v>
      </c>
      <c r="H83" s="18">
        <f>VLOOKUP(C83,Sheet2!A:N,7,0)</f>
        <v>17.239999999999998</v>
      </c>
      <c r="I83" s="18">
        <f>VLOOKUP(C83,Sheet2!A:N,8,0)</f>
        <v>7.82</v>
      </c>
      <c r="J83" s="18">
        <f>VLOOKUP(C83,Sheet2!A:N,9,0)</f>
        <v>8</v>
      </c>
      <c r="K83" s="18">
        <f>VLOOKUP(C83,Sheet2!A:N,10,0)</f>
        <v>6.6</v>
      </c>
      <c r="L83" s="20">
        <f>VLOOKUP(C83,Sheet2!A:N,11,0)</f>
        <v>195573607.84</v>
      </c>
      <c r="M83" s="21">
        <f>VLOOKUP(C83,Sheet2!A:N,12,0)</f>
        <v>25878850</v>
      </c>
      <c r="N83" s="18">
        <f>VLOOKUP(C83,Sheet2!A:N,13,0)</f>
        <v>2474</v>
      </c>
      <c r="O83" s="21">
        <f>VLOOKUP(C83,Sheet2!A:N,14,0)</f>
        <v>8189</v>
      </c>
    </row>
    <row r="84" spans="1:15" x14ac:dyDescent="0.25">
      <c r="A84" s="19" t="s">
        <v>393</v>
      </c>
      <c r="B84" s="18" t="str">
        <f t="shared" si="1"/>
        <v>جدوى للتنمية الصناعية</v>
      </c>
      <c r="C84" s="18" t="str">
        <f>VLOOKUP(A84,Sheet1!C:F,2,0)</f>
        <v>جدوى للتنمية الصناعية</v>
      </c>
      <c r="D84" s="18" t="s">
        <v>46</v>
      </c>
      <c r="E84" s="18">
        <f>VLOOKUP(C84,Sheet2!A:N,4,0)</f>
        <v>0.79500000000000004</v>
      </c>
      <c r="F84" s="18">
        <f>VLOOKUP(C84,Sheet2!A:N,5,0)</f>
        <v>0.79500000000000004</v>
      </c>
      <c r="G84" s="18">
        <f>VLOOKUP(C84,Sheet2!A:N,6,0)</f>
        <v>0.81</v>
      </c>
      <c r="H84" s="18">
        <f>VLOOKUP(C84,Sheet2!A:N,7,0)</f>
        <v>1.89</v>
      </c>
      <c r="I84" s="18">
        <f>VLOOKUP(C84,Sheet2!A:N,8,0)</f>
        <v>0.81</v>
      </c>
      <c r="J84" s="18">
        <f>VLOOKUP(C84,Sheet2!A:N,9,0)</f>
        <v>0.81699999999999995</v>
      </c>
      <c r="K84" s="18">
        <f>VLOOKUP(C84,Sheet2!A:N,10,0)</f>
        <v>0.79500000000000004</v>
      </c>
      <c r="L84" s="20">
        <f>VLOOKUP(C84,Sheet2!A:N,11,0)</f>
        <v>20508433.09</v>
      </c>
      <c r="M84" s="21">
        <f>VLOOKUP(C84,Sheet2!A:N,12,0)</f>
        <v>25333345</v>
      </c>
      <c r="N84" s="18">
        <f>VLOOKUP(C84,Sheet2!A:N,13,0)</f>
        <v>645</v>
      </c>
      <c r="O84" s="21">
        <f>VLOOKUP(C84,Sheet2!A:N,14,0)</f>
        <v>4367</v>
      </c>
    </row>
    <row r="85" spans="1:15" x14ac:dyDescent="0.25">
      <c r="A85" s="19" t="s">
        <v>451</v>
      </c>
      <c r="B85" s="18" t="str">
        <f t="shared" si="1"/>
        <v>المصرية لنظم التعليم الحديثة</v>
      </c>
      <c r="C85" s="18" t="str">
        <f>VLOOKUP(A85,Sheet1!C:F,2,0)</f>
        <v>المصرية لنظم التعليم الحديثة</v>
      </c>
      <c r="D85" s="18" t="s">
        <v>77</v>
      </c>
      <c r="E85" s="18">
        <f>VLOOKUP(C85,Sheet2!A:N,4,0)</f>
        <v>0.71099999999999997</v>
      </c>
      <c r="F85" s="18">
        <f>VLOOKUP(C85,Sheet2!A:N,5,0)</f>
        <v>0.71099999999999997</v>
      </c>
      <c r="G85" s="18">
        <f>VLOOKUP(C85,Sheet2!A:N,6,0)</f>
        <v>0.70799999999999996</v>
      </c>
      <c r="H85" s="18">
        <f>VLOOKUP(C85,Sheet2!A:N,7,0)</f>
        <v>-0.42</v>
      </c>
      <c r="I85" s="18">
        <f>VLOOKUP(C85,Sheet2!A:N,8,0)</f>
        <v>0.70799999999999996</v>
      </c>
      <c r="J85" s="18">
        <f>VLOOKUP(C85,Sheet2!A:N,9,0)</f>
        <v>0.71799999999999997</v>
      </c>
      <c r="K85" s="18">
        <f>VLOOKUP(C85,Sheet2!A:N,10,0)</f>
        <v>0.70699999999999996</v>
      </c>
      <c r="L85" s="20">
        <f>VLOOKUP(C85,Sheet2!A:N,11,0)</f>
        <v>17155652.68</v>
      </c>
      <c r="M85" s="21">
        <f>VLOOKUP(C85,Sheet2!A:N,12,0)</f>
        <v>24080456</v>
      </c>
      <c r="N85" s="18">
        <f>VLOOKUP(C85,Sheet2!A:N,13,0)</f>
        <v>652</v>
      </c>
      <c r="O85" s="21">
        <f>VLOOKUP(C85,Sheet2!A:N,14,0)</f>
        <v>712</v>
      </c>
    </row>
    <row r="86" spans="1:15" x14ac:dyDescent="0.25">
      <c r="A86" s="19" t="s">
        <v>503</v>
      </c>
      <c r="B86" s="18" t="str">
        <f t="shared" si="1"/>
        <v>العامة لاستصلاح الاراضي و التنمية و التعمير</v>
      </c>
      <c r="C86" s="18" t="str">
        <f>VLOOKUP(A86,Sheet1!C:F,2,0)</f>
        <v>العامة لاستصلاح الاراضي و التنمية و التعمير</v>
      </c>
      <c r="D86" s="18" t="s">
        <v>71</v>
      </c>
      <c r="E86" s="18">
        <f>VLOOKUP(C86,Sheet2!A:N,4,0)</f>
        <v>205.05</v>
      </c>
      <c r="F86" s="18">
        <f>VLOOKUP(C86,Sheet2!A:N,5,0)</f>
        <v>205.05</v>
      </c>
      <c r="G86" s="18">
        <f>VLOOKUP(C86,Sheet2!A:N,6,0)</f>
        <v>205.78</v>
      </c>
      <c r="H86" s="18">
        <f>VLOOKUP(C86,Sheet2!A:N,7,0)</f>
        <v>0.36</v>
      </c>
      <c r="I86" s="18">
        <f>VLOOKUP(C86,Sheet2!A:N,8,0)</f>
        <v>205.78</v>
      </c>
      <c r="J86" s="18">
        <f>VLOOKUP(C86,Sheet2!A:N,9,0)</f>
        <v>208.99</v>
      </c>
      <c r="K86" s="18">
        <f>VLOOKUP(C86,Sheet2!A:N,10,0)</f>
        <v>205.11</v>
      </c>
      <c r="L86" s="20">
        <f>VLOOKUP(C86,Sheet2!A:N,11,0)</f>
        <v>2242050.31</v>
      </c>
      <c r="M86" s="21">
        <f>VLOOKUP(C86,Sheet2!A:N,12,0)</f>
        <v>10871</v>
      </c>
      <c r="N86" s="18">
        <f>VLOOKUP(C86,Sheet2!A:N,13,0)</f>
        <v>152</v>
      </c>
      <c r="O86" s="21">
        <f>VLOOKUP(C86,Sheet2!A:N,14,0)</f>
        <v>1340</v>
      </c>
    </row>
    <row r="87" spans="1:15" x14ac:dyDescent="0.25">
      <c r="A87" s="19" t="s">
        <v>457</v>
      </c>
      <c r="B87" s="18" t="str">
        <f t="shared" si="1"/>
        <v>وادي كوم امبو لاستصلاح الاراضي</v>
      </c>
      <c r="C87" s="18" t="str">
        <f>VLOOKUP(A87,Sheet1!C:F,2,0)</f>
        <v>وادي كوم امبو لاستصلاح الاراضي</v>
      </c>
      <c r="D87" s="18" t="s">
        <v>71</v>
      </c>
      <c r="E87" s="18">
        <f>VLOOKUP(C87,Sheet2!A:N,4,0)</f>
        <v>290.5</v>
      </c>
      <c r="F87" s="18">
        <f>VLOOKUP(C87,Sheet2!A:N,5,0)</f>
        <v>290.5</v>
      </c>
      <c r="G87" s="18">
        <f>VLOOKUP(C87,Sheet2!A:N,6,0)</f>
        <v>289.05</v>
      </c>
      <c r="H87" s="18">
        <f>VLOOKUP(C87,Sheet2!A:N,7,0)</f>
        <v>-0.5</v>
      </c>
      <c r="I87" s="18">
        <f>VLOOKUP(C87,Sheet2!A:N,8,0)</f>
        <v>289</v>
      </c>
      <c r="J87" s="18">
        <f>VLOOKUP(C87,Sheet2!A:N,9,0)</f>
        <v>295</v>
      </c>
      <c r="K87" s="18">
        <f>VLOOKUP(C87,Sheet2!A:N,10,0)</f>
        <v>289</v>
      </c>
      <c r="L87" s="20">
        <f>VLOOKUP(C87,Sheet2!A:N,11,0)</f>
        <v>2023771.25</v>
      </c>
      <c r="M87" s="21">
        <f>VLOOKUP(C87,Sheet2!A:N,12,0)</f>
        <v>6948</v>
      </c>
      <c r="N87" s="18">
        <f>VLOOKUP(C87,Sheet2!A:N,13,0)</f>
        <v>128</v>
      </c>
      <c r="O87" s="21">
        <f>VLOOKUP(C87,Sheet2!A:N,14,0)</f>
        <v>1619</v>
      </c>
    </row>
    <row r="88" spans="1:15" x14ac:dyDescent="0.25">
      <c r="A88" s="19" t="s">
        <v>505</v>
      </c>
      <c r="B88" s="18" t="str">
        <f t="shared" si="1"/>
        <v>الاسماعيلية مصر للدواجن</v>
      </c>
      <c r="C88" s="18" t="str">
        <f>VLOOKUP(A88,Sheet1!C:F,2,0)</f>
        <v>الاسماعيلية مصر للدواجن</v>
      </c>
      <c r="D88" s="18" t="s">
        <v>48</v>
      </c>
      <c r="E88" s="18">
        <f>VLOOKUP(C88,Sheet2!A:N,4,0)</f>
        <v>30.38</v>
      </c>
      <c r="F88" s="18">
        <f>VLOOKUP(C88,Sheet2!A:N,5,0)</f>
        <v>30.38</v>
      </c>
      <c r="G88" s="18">
        <f>VLOOKUP(C88,Sheet2!A:N,6,0)</f>
        <v>30.15</v>
      </c>
      <c r="H88" s="18">
        <f>VLOOKUP(C88,Sheet2!A:N,7,0)</f>
        <v>-0.76</v>
      </c>
      <c r="I88" s="18">
        <f>VLOOKUP(C88,Sheet2!A:N,8,0)</f>
        <v>30.15</v>
      </c>
      <c r="J88" s="18">
        <f>VLOOKUP(C88,Sheet2!A:N,9,0)</f>
        <v>36.450000000000003</v>
      </c>
      <c r="K88" s="18">
        <f>VLOOKUP(C88,Sheet2!A:N,10,0)</f>
        <v>29.19</v>
      </c>
      <c r="L88" s="20">
        <f>VLOOKUP(C88,Sheet2!A:N,11,0)</f>
        <v>146305565.83000001</v>
      </c>
      <c r="M88" s="21">
        <f>VLOOKUP(C88,Sheet2!A:N,12,0)</f>
        <v>4733274</v>
      </c>
      <c r="N88" s="18">
        <f>VLOOKUP(C88,Sheet2!A:N,13,0)</f>
        <v>2519</v>
      </c>
      <c r="O88" s="21">
        <f>VLOOKUP(C88,Sheet2!A:N,14,0)</f>
        <v>2709</v>
      </c>
    </row>
    <row r="89" spans="1:15" x14ac:dyDescent="0.25">
      <c r="A89" s="19" t="s">
        <v>458</v>
      </c>
      <c r="B89" s="18" t="str">
        <f t="shared" si="1"/>
        <v>ارابيا انفستمنتس هولدنج</v>
      </c>
      <c r="C89" s="18" t="str">
        <f>VLOOKUP(A89,Sheet1!C:F,2,0)</f>
        <v>ارابيا انفستمنتس هولدنج</v>
      </c>
      <c r="D89" s="18" t="s">
        <v>44</v>
      </c>
      <c r="E89" s="18">
        <f>VLOOKUP(C89,Sheet2!A:N,4,0)</f>
        <v>0.50800000000000001</v>
      </c>
      <c r="F89" s="18">
        <f>VLOOKUP(C89,Sheet2!A:N,5,0)</f>
        <v>0.50800000000000001</v>
      </c>
      <c r="G89" s="18">
        <f>VLOOKUP(C89,Sheet2!A:N,6,0)</f>
        <v>0.46899999999999997</v>
      </c>
      <c r="H89" s="18">
        <f>VLOOKUP(C89,Sheet2!A:N,7,0)</f>
        <v>-7.68</v>
      </c>
      <c r="I89" s="18">
        <f>VLOOKUP(C89,Sheet2!A:N,8,0)</f>
        <v>0.46899999999999997</v>
      </c>
      <c r="J89" s="18">
        <f>VLOOKUP(C89,Sheet2!A:N,9,0)</f>
        <v>0.52900000000000003</v>
      </c>
      <c r="K89" s="18">
        <f>VLOOKUP(C89,Sheet2!A:N,10,0)</f>
        <v>0.46700000000000003</v>
      </c>
      <c r="L89" s="20">
        <f>VLOOKUP(C89,Sheet2!A:N,11,0)</f>
        <v>88771811.909999996</v>
      </c>
      <c r="M89" s="21">
        <f>VLOOKUP(C89,Sheet2!A:N,12,0)</f>
        <v>180566271</v>
      </c>
      <c r="N89" s="18">
        <f>VLOOKUP(C89,Sheet2!A:N,13,0)</f>
        <v>2469</v>
      </c>
      <c r="O89" s="21">
        <f>VLOOKUP(C89,Sheet2!A:N,14,0)</f>
        <v>731</v>
      </c>
    </row>
    <row r="90" spans="1:15" x14ac:dyDescent="0.25">
      <c r="A90" s="19" t="s">
        <v>506</v>
      </c>
      <c r="B90" s="18" t="str">
        <f t="shared" si="1"/>
        <v>المنصورة للدواجن</v>
      </c>
      <c r="C90" s="18" t="str">
        <f>VLOOKUP(A90,Sheet1!C:F,2,0)</f>
        <v>المنصورة للدواجن</v>
      </c>
      <c r="D90" s="18" t="s">
        <v>48</v>
      </c>
      <c r="E90" s="18">
        <f>VLOOKUP(C90,Sheet2!A:N,4,0)</f>
        <v>2</v>
      </c>
      <c r="F90" s="18">
        <f>VLOOKUP(C90,Sheet2!A:N,5,0)</f>
        <v>2</v>
      </c>
      <c r="G90" s="18">
        <f>VLOOKUP(C90,Sheet2!A:N,6,0)</f>
        <v>1.95</v>
      </c>
      <c r="H90" s="18">
        <f>VLOOKUP(C90,Sheet2!A:N,7,0)</f>
        <v>-2.5</v>
      </c>
      <c r="I90" s="18">
        <f>VLOOKUP(C90,Sheet2!A:N,8,0)</f>
        <v>1.95</v>
      </c>
      <c r="J90" s="18">
        <f>VLOOKUP(C90,Sheet2!A:N,9,0)</f>
        <v>2.04</v>
      </c>
      <c r="K90" s="18">
        <f>VLOOKUP(C90,Sheet2!A:N,10,0)</f>
        <v>1.94</v>
      </c>
      <c r="L90" s="20">
        <f>VLOOKUP(C90,Sheet2!A:N,11,0)</f>
        <v>350752968.45999998</v>
      </c>
      <c r="M90" s="21">
        <f>VLOOKUP(C90,Sheet2!A:N,12,0)</f>
        <v>176081727</v>
      </c>
      <c r="N90" s="18">
        <f>VLOOKUP(C90,Sheet2!A:N,13,0)</f>
        <v>4574</v>
      </c>
      <c r="O90" s="21">
        <f>VLOOKUP(C90,Sheet2!A:N,14,0)</f>
        <v>1950</v>
      </c>
    </row>
    <row r="91" spans="1:15" x14ac:dyDescent="0.25">
      <c r="A91" s="19" t="s">
        <v>345</v>
      </c>
      <c r="B91" s="18" t="str">
        <f t="shared" si="1"/>
        <v>الدوليه للمحاصيل الزراعيه</v>
      </c>
      <c r="C91" s="18" t="str">
        <f>VLOOKUP(A91,Sheet1!C:F,2,0)</f>
        <v>الدوليه للمحاصيل الزراعيه</v>
      </c>
      <c r="D91" s="18" t="s">
        <v>54</v>
      </c>
      <c r="E91" s="18">
        <f>VLOOKUP(C91,Sheet2!A:N,4,0)</f>
        <v>19.510000000000002</v>
      </c>
      <c r="F91" s="18">
        <f>VLOOKUP(C91,Sheet2!A:N,5,0)</f>
        <v>19.510000000000002</v>
      </c>
      <c r="G91" s="18">
        <f>VLOOKUP(C91,Sheet2!A:N,6,0)</f>
        <v>19.37</v>
      </c>
      <c r="H91" s="18">
        <f>VLOOKUP(C91,Sheet2!A:N,7,0)</f>
        <v>-0.72</v>
      </c>
      <c r="I91" s="18">
        <f>VLOOKUP(C91,Sheet2!A:N,8,0)</f>
        <v>19.37</v>
      </c>
      <c r="J91" s="18">
        <f>VLOOKUP(C91,Sheet2!A:N,9,0)</f>
        <v>19.600000000000001</v>
      </c>
      <c r="K91" s="18">
        <f>VLOOKUP(C91,Sheet2!A:N,10,0)</f>
        <v>19.3</v>
      </c>
      <c r="L91" s="20">
        <f>VLOOKUP(C91,Sheet2!A:N,11,0)</f>
        <v>2734879.24</v>
      </c>
      <c r="M91" s="21">
        <f>VLOOKUP(C91,Sheet2!A:N,12,0)</f>
        <v>140778</v>
      </c>
      <c r="N91" s="18">
        <f>VLOOKUP(C91,Sheet2!A:N,13,0)</f>
        <v>236</v>
      </c>
      <c r="O91" s="21">
        <f>VLOOKUP(C91,Sheet2!A:N,14,0)</f>
        <v>9632</v>
      </c>
    </row>
    <row r="92" spans="1:15" x14ac:dyDescent="0.25">
      <c r="A92" s="19" t="s">
        <v>507</v>
      </c>
      <c r="B92" s="18" t="str">
        <f t="shared" si="1"/>
        <v>الخليجية الكندية للاستثمار العقاري العربي</v>
      </c>
      <c r="C92" s="18" t="str">
        <f>VLOOKUP(A92,Sheet1!C:F,2,0)</f>
        <v>الخليجية الكندية للاستثمار العقاري العربي</v>
      </c>
      <c r="D92" s="18" t="s">
        <v>40</v>
      </c>
      <c r="E92" s="18">
        <f>VLOOKUP(C92,Sheet2!A:N,4,0)</f>
        <v>2.4</v>
      </c>
      <c r="F92" s="18">
        <f>VLOOKUP(C92,Sheet2!A:N,5,0)</f>
        <v>2.4</v>
      </c>
      <c r="G92" s="18">
        <f>VLOOKUP(C92,Sheet2!A:N,6,0)</f>
        <v>2.52</v>
      </c>
      <c r="H92" s="18">
        <f>VLOOKUP(C92,Sheet2!A:N,7,0)</f>
        <v>5</v>
      </c>
      <c r="I92" s="18">
        <f>VLOOKUP(C92,Sheet2!A:N,8,0)</f>
        <v>2.52</v>
      </c>
      <c r="J92" s="18">
        <f>VLOOKUP(C92,Sheet2!A:N,9,0)</f>
        <v>2.5499999999999998</v>
      </c>
      <c r="K92" s="18">
        <f>VLOOKUP(C92,Sheet2!A:N,10,0)</f>
        <v>2.39</v>
      </c>
      <c r="L92" s="20">
        <f>VLOOKUP(C92,Sheet2!A:N,11,0)</f>
        <v>25339222.09</v>
      </c>
      <c r="M92" s="21">
        <f>VLOOKUP(C92,Sheet2!A:N,12,0)</f>
        <v>10193289</v>
      </c>
      <c r="N92" s="18">
        <f>VLOOKUP(C92,Sheet2!A:N,13,0)</f>
        <v>506</v>
      </c>
      <c r="O92" s="21">
        <f>VLOOKUP(C92,Sheet2!A:N,14,0)</f>
        <v>529</v>
      </c>
    </row>
    <row r="93" spans="1:15" x14ac:dyDescent="0.25">
      <c r="A93" s="19" t="s">
        <v>459</v>
      </c>
      <c r="B93" s="18" t="str">
        <f t="shared" si="1"/>
        <v>العربيه وبولفارا للغزل والنسيج - يونيراب</v>
      </c>
      <c r="C93" s="18" t="str">
        <f>VLOOKUP(A93,Sheet1!C:F,2,0)</f>
        <v>العربيه وبولفارا للغزل والنسيج - يونيراب</v>
      </c>
      <c r="D93" s="18" t="s">
        <v>88</v>
      </c>
      <c r="E93" s="18">
        <f>VLOOKUP(C93,Sheet2!A:N,4,0)</f>
        <v>8.6</v>
      </c>
      <c r="F93" s="18">
        <f>VLOOKUP(C93,Sheet2!A:N,5,0)</f>
        <v>8.6</v>
      </c>
      <c r="G93" s="18">
        <f>VLOOKUP(C93,Sheet2!A:N,6,0)</f>
        <v>8.5299999999999994</v>
      </c>
      <c r="H93" s="18">
        <f>VLOOKUP(C93,Sheet2!A:N,7,0)</f>
        <v>-0.81</v>
      </c>
      <c r="I93" s="18">
        <f>VLOOKUP(C93,Sheet2!A:N,8,0)</f>
        <v>8.6</v>
      </c>
      <c r="J93" s="18">
        <f>VLOOKUP(C93,Sheet2!A:N,9,0)</f>
        <v>8.66</v>
      </c>
      <c r="K93" s="18">
        <f>VLOOKUP(C93,Sheet2!A:N,10,0)</f>
        <v>8.5</v>
      </c>
      <c r="L93" s="20">
        <f>VLOOKUP(C93,Sheet2!A:N,11,0)</f>
        <v>1734798.47</v>
      </c>
      <c r="M93" s="21">
        <f>VLOOKUP(C93,Sheet2!A:N,12,0)</f>
        <v>203512</v>
      </c>
      <c r="N93" s="18">
        <f>VLOOKUP(C93,Sheet2!A:N,13,0)</f>
        <v>105</v>
      </c>
      <c r="O93" s="21">
        <f>VLOOKUP(C93,Sheet2!A:N,14,0)</f>
        <v>799</v>
      </c>
    </row>
    <row r="94" spans="1:15" x14ac:dyDescent="0.25">
      <c r="A94" s="19" t="s">
        <v>460</v>
      </c>
      <c r="B94" s="18" t="str">
        <f t="shared" si="1"/>
        <v>الصعيد العامة للمقاولات والاستثمار العقاري SCCD</v>
      </c>
      <c r="C94" s="18" t="str">
        <f>VLOOKUP(A94,Sheet1!C:F,2,0)</f>
        <v>الصعيد العامة للمقاولات والاستثمار العقاري SCCD</v>
      </c>
      <c r="D94" s="18" t="s">
        <v>40</v>
      </c>
      <c r="E94" s="18">
        <f>VLOOKUP(C94,Sheet2!A:N,4,0)</f>
        <v>1.42</v>
      </c>
      <c r="F94" s="18">
        <f>VLOOKUP(C94,Sheet2!A:N,5,0)</f>
        <v>1.42</v>
      </c>
      <c r="G94" s="18">
        <f>VLOOKUP(C94,Sheet2!A:N,6,0)</f>
        <v>1.43</v>
      </c>
      <c r="H94" s="18">
        <f>VLOOKUP(C94,Sheet2!A:N,7,0)</f>
        <v>0.7</v>
      </c>
      <c r="I94" s="18">
        <f>VLOOKUP(C94,Sheet2!A:N,8,0)</f>
        <v>1.43</v>
      </c>
      <c r="J94" s="18">
        <f>VLOOKUP(C94,Sheet2!A:N,9,0)</f>
        <v>1.46</v>
      </c>
      <c r="K94" s="18">
        <f>VLOOKUP(C94,Sheet2!A:N,10,0)</f>
        <v>1.39</v>
      </c>
      <c r="L94" s="20">
        <f>VLOOKUP(C94,Sheet2!A:N,11,0)</f>
        <v>17635206.239999998</v>
      </c>
      <c r="M94" s="21">
        <f>VLOOKUP(C94,Sheet2!A:N,12,0)</f>
        <v>12358162</v>
      </c>
      <c r="N94" s="18">
        <f>VLOOKUP(C94,Sheet2!A:N,13,0)</f>
        <v>510</v>
      </c>
      <c r="O94" s="21">
        <f>VLOOKUP(C94,Sheet2!A:N,14,0)</f>
        <v>1037</v>
      </c>
    </row>
    <row r="95" spans="1:15" x14ac:dyDescent="0.25">
      <c r="A95" s="19" t="s">
        <v>509</v>
      </c>
      <c r="B95" s="18" t="str">
        <f t="shared" si="1"/>
        <v>المشروعات الصناعية والهندسية</v>
      </c>
      <c r="C95" s="18" t="str">
        <f>VLOOKUP(A95,Sheet1!C:F,2,0)</f>
        <v>المشروعات الصناعية والهندسية</v>
      </c>
      <c r="D95" s="18" t="s">
        <v>71</v>
      </c>
      <c r="E95" s="18">
        <f>VLOOKUP(C95,Sheet2!A:N,4,0)</f>
        <v>0.44600000000000001</v>
      </c>
      <c r="F95" s="18">
        <f>VLOOKUP(C95,Sheet2!A:N,5,0)</f>
        <v>0.44600000000000001</v>
      </c>
      <c r="G95" s="18">
        <f>VLOOKUP(C95,Sheet2!A:N,6,0)</f>
        <v>0.44700000000000001</v>
      </c>
      <c r="H95" s="18">
        <f>VLOOKUP(C95,Sheet2!A:N,7,0)</f>
        <v>0.22</v>
      </c>
      <c r="I95" s="18">
        <f>VLOOKUP(C95,Sheet2!A:N,8,0)</f>
        <v>0.44700000000000001</v>
      </c>
      <c r="J95" s="18">
        <f>VLOOKUP(C95,Sheet2!A:N,9,0)</f>
        <v>0.45200000000000001</v>
      </c>
      <c r="K95" s="18">
        <f>VLOOKUP(C95,Sheet2!A:N,10,0)</f>
        <v>0.44600000000000001</v>
      </c>
      <c r="L95" s="20">
        <f>VLOOKUP(C95,Sheet2!A:N,11,0)</f>
        <v>7370880.7999999998</v>
      </c>
      <c r="M95" s="21">
        <f>VLOOKUP(C95,Sheet2!A:N,12,0)</f>
        <v>16421460</v>
      </c>
      <c r="N95" s="18">
        <f>VLOOKUP(C95,Sheet2!A:N,13,0)</f>
        <v>327</v>
      </c>
      <c r="O95" s="21">
        <f>VLOOKUP(C95,Sheet2!A:N,14,0)</f>
        <v>652</v>
      </c>
    </row>
    <row r="96" spans="1:15" x14ac:dyDescent="0.25">
      <c r="A96" s="19" t="s">
        <v>510</v>
      </c>
      <c r="B96" s="18" t="str">
        <f t="shared" si="1"/>
        <v>كرستمارك للمقاولات والتطوير العقاري</v>
      </c>
      <c r="C96" s="18" t="str">
        <f>VLOOKUP(A96,Sheet1!C:F,2,0)</f>
        <v>كرستمارك للمقاولات والتطوير العقاري</v>
      </c>
      <c r="D96" s="18" t="s">
        <v>71</v>
      </c>
      <c r="E96" s="18">
        <f>VLOOKUP(C96,Sheet2!A:N,4,0)</f>
        <v>1.25</v>
      </c>
      <c r="F96" s="18">
        <f>VLOOKUP(C96,Sheet2!A:N,5,0)</f>
        <v>1.25</v>
      </c>
      <c r="G96" s="18">
        <f>VLOOKUP(C96,Sheet2!A:N,6,0)</f>
        <v>1.2</v>
      </c>
      <c r="H96" s="18">
        <f>VLOOKUP(C96,Sheet2!A:N,7,0)</f>
        <v>-4</v>
      </c>
      <c r="I96" s="18">
        <f>VLOOKUP(C96,Sheet2!A:N,8,0)</f>
        <v>1.2</v>
      </c>
      <c r="J96" s="18">
        <f>VLOOKUP(C96,Sheet2!A:N,9,0)</f>
        <v>1.27</v>
      </c>
      <c r="K96" s="18">
        <f>VLOOKUP(C96,Sheet2!A:N,10,0)</f>
        <v>1.18</v>
      </c>
      <c r="L96" s="20">
        <f>VLOOKUP(C96,Sheet2!A:N,11,0)</f>
        <v>51515537.469999999</v>
      </c>
      <c r="M96" s="21">
        <f>VLOOKUP(C96,Sheet2!A:N,12,0)</f>
        <v>42221941</v>
      </c>
      <c r="N96" s="18">
        <f>VLOOKUP(C96,Sheet2!A:N,13,0)</f>
        <v>1091</v>
      </c>
      <c r="O96" s="21">
        <f>VLOOKUP(C96,Sheet2!A:N,14,0)</f>
        <v>1347</v>
      </c>
    </row>
    <row r="97" spans="1:15" x14ac:dyDescent="0.25">
      <c r="A97" s="19" t="s">
        <v>284</v>
      </c>
      <c r="B97" s="18" t="str">
        <f t="shared" si="1"/>
        <v>بنك قناة السويس شركة مساهمة مصرية</v>
      </c>
      <c r="C97" s="18" t="str">
        <f>VLOOKUP(A97,Sheet1!C:F,2,0)</f>
        <v>بنك قناة السويس شركة مساهمة مصرية</v>
      </c>
      <c r="D97" s="18" t="s">
        <v>49</v>
      </c>
      <c r="E97" s="18">
        <f>VLOOKUP(C97,Sheet2!A:N,4,0)</f>
        <v>38</v>
      </c>
      <c r="F97" s="18">
        <f>VLOOKUP(C97,Sheet2!A:N,5,0)</f>
        <v>38</v>
      </c>
      <c r="G97" s="18">
        <f>VLOOKUP(C97,Sheet2!A:N,6,0)</f>
        <v>37.22</v>
      </c>
      <c r="H97" s="18">
        <f>VLOOKUP(C97,Sheet2!A:N,7,0)</f>
        <v>-2.0499999999999998</v>
      </c>
      <c r="I97" s="18">
        <f>VLOOKUP(C97,Sheet2!A:N,8,0)</f>
        <v>37.22</v>
      </c>
      <c r="J97" s="18">
        <f>VLOOKUP(C97,Sheet2!A:N,9,0)</f>
        <v>38.22</v>
      </c>
      <c r="K97" s="18">
        <f>VLOOKUP(C97,Sheet2!A:N,10,0)</f>
        <v>37.090000000000003</v>
      </c>
      <c r="L97" s="20">
        <f>VLOOKUP(C97,Sheet2!A:N,11,0)</f>
        <v>12119788.310000001</v>
      </c>
      <c r="M97" s="21">
        <f>VLOOKUP(C97,Sheet2!A:N,12,0)</f>
        <v>324617</v>
      </c>
      <c r="N97" s="18">
        <f>VLOOKUP(C97,Sheet2!A:N,13,0)</f>
        <v>225</v>
      </c>
      <c r="O97" s="21">
        <f>VLOOKUP(C97,Sheet2!A:N,14,0)</f>
        <v>37220</v>
      </c>
    </row>
    <row r="98" spans="1:15" x14ac:dyDescent="0.25">
      <c r="A98" s="19" t="s">
        <v>258</v>
      </c>
      <c r="B98" s="18" t="str">
        <f t="shared" si="1"/>
        <v>بنك التعمير والاسكان</v>
      </c>
      <c r="C98" s="18" t="str">
        <f>VLOOKUP(A98,Sheet1!C:F,2,0)</f>
        <v>بنك التعمير والاسكان</v>
      </c>
      <c r="D98" s="18" t="s">
        <v>49</v>
      </c>
      <c r="E98" s="18">
        <f>VLOOKUP(C98,Sheet2!A:N,4,0)</f>
        <v>146.79</v>
      </c>
      <c r="F98" s="18">
        <f>VLOOKUP(C98,Sheet2!A:N,5,0)</f>
        <v>146.79</v>
      </c>
      <c r="G98" s="18">
        <f>VLOOKUP(C98,Sheet2!A:N,6,0)</f>
        <v>148.11000000000001</v>
      </c>
      <c r="H98" s="18">
        <f>VLOOKUP(C98,Sheet2!A:N,7,0)</f>
        <v>0.9</v>
      </c>
      <c r="I98" s="18">
        <f>VLOOKUP(C98,Sheet2!A:N,8,0)</f>
        <v>148.11000000000001</v>
      </c>
      <c r="J98" s="18">
        <f>VLOOKUP(C98,Sheet2!A:N,9,0)</f>
        <v>154</v>
      </c>
      <c r="K98" s="18">
        <f>VLOOKUP(C98,Sheet2!A:N,10,0)</f>
        <v>146.19999999999999</v>
      </c>
      <c r="L98" s="20">
        <f>VLOOKUP(C98,Sheet2!A:N,11,0)</f>
        <v>59812140.170000002</v>
      </c>
      <c r="M98" s="21">
        <f>VLOOKUP(C98,Sheet2!A:N,12,0)</f>
        <v>397662</v>
      </c>
      <c r="N98" s="18">
        <f>VLOOKUP(C98,Sheet2!A:N,13,0)</f>
        <v>1311</v>
      </c>
      <c r="O98" s="21">
        <f>VLOOKUP(C98,Sheet2!A:N,14,0)</f>
        <v>78691</v>
      </c>
    </row>
    <row r="99" spans="1:15" x14ac:dyDescent="0.25">
      <c r="A99" s="19" t="s">
        <v>512</v>
      </c>
      <c r="B99" s="18" t="str">
        <f t="shared" si="1"/>
        <v>(مجموعة عامر القابضة (عامر جروب</v>
      </c>
      <c r="C99" s="18" t="str">
        <f>VLOOKUP(A99,Sheet1!C:F,2,0)</f>
        <v>(مجموعة عامر القابضة (عامر جروب</v>
      </c>
      <c r="D99" s="18" t="s">
        <v>40</v>
      </c>
      <c r="E99" s="18">
        <f>VLOOKUP(C99,Sheet2!A:N,4,0)</f>
        <v>2.63</v>
      </c>
      <c r="F99" s="18">
        <f>VLOOKUP(C99,Sheet2!A:N,5,0)</f>
        <v>2.63</v>
      </c>
      <c r="G99" s="18">
        <f>VLOOKUP(C99,Sheet2!A:N,6,0)</f>
        <v>2.4900000000000002</v>
      </c>
      <c r="H99" s="18">
        <f>VLOOKUP(C99,Sheet2!A:N,7,0)</f>
        <v>-5.32</v>
      </c>
      <c r="I99" s="18">
        <f>VLOOKUP(C99,Sheet2!A:N,8,0)</f>
        <v>2.4900000000000002</v>
      </c>
      <c r="J99" s="18">
        <f>VLOOKUP(C99,Sheet2!A:N,9,0)</f>
        <v>2.68</v>
      </c>
      <c r="K99" s="18">
        <f>VLOOKUP(C99,Sheet2!A:N,10,0)</f>
        <v>2.4700000000000002</v>
      </c>
      <c r="L99" s="20">
        <f>VLOOKUP(C99,Sheet2!A:N,11,0)</f>
        <v>127204108.62</v>
      </c>
      <c r="M99" s="21">
        <f>VLOOKUP(C99,Sheet2!A:N,12,0)</f>
        <v>49695100</v>
      </c>
      <c r="N99" s="18">
        <f>VLOOKUP(C99,Sheet2!A:N,13,0)</f>
        <v>2561</v>
      </c>
      <c r="O99" s="21">
        <f>VLOOKUP(C99,Sheet2!A:N,14,0)</f>
        <v>2248</v>
      </c>
    </row>
    <row r="100" spans="1:15" x14ac:dyDescent="0.25">
      <c r="A100" s="19" t="s">
        <v>337</v>
      </c>
      <c r="B100" s="18" t="str">
        <f t="shared" si="1"/>
        <v>مصر الوطنية للصلب - عتاقة</v>
      </c>
      <c r="C100" s="18" t="str">
        <f>VLOOKUP(A100,Sheet1!C:F,2,0)</f>
        <v>مصر الوطنية للصلب - عتاقة</v>
      </c>
      <c r="D100" s="18" t="s">
        <v>61</v>
      </c>
      <c r="E100" s="18">
        <f>VLOOKUP(C100,Sheet2!A:N,4,0)</f>
        <v>9.41</v>
      </c>
      <c r="F100" s="18">
        <f>VLOOKUP(C100,Sheet2!A:N,5,0)</f>
        <v>9.41</v>
      </c>
      <c r="G100" s="18">
        <f>VLOOKUP(C100,Sheet2!A:N,6,0)</f>
        <v>9.7100000000000009</v>
      </c>
      <c r="H100" s="18">
        <f>VLOOKUP(C100,Sheet2!A:N,7,0)</f>
        <v>3.19</v>
      </c>
      <c r="I100" s="18">
        <f>VLOOKUP(C100,Sheet2!A:N,8,0)</f>
        <v>9.7100000000000009</v>
      </c>
      <c r="J100" s="18">
        <f>VLOOKUP(C100,Sheet2!A:N,9,0)</f>
        <v>9.9</v>
      </c>
      <c r="K100" s="18">
        <f>VLOOKUP(C100,Sheet2!A:N,10,0)</f>
        <v>9.41</v>
      </c>
      <c r="L100" s="20">
        <f>VLOOKUP(C100,Sheet2!A:N,11,0)</f>
        <v>61983879.57</v>
      </c>
      <c r="M100" s="21">
        <f>VLOOKUP(C100,Sheet2!A:N,12,0)</f>
        <v>6370487</v>
      </c>
      <c r="N100" s="18">
        <f>VLOOKUP(C100,Sheet2!A:N,13,0)</f>
        <v>1478</v>
      </c>
      <c r="O100" s="21">
        <f>VLOOKUP(C100,Sheet2!A:N,14,0)</f>
        <v>11652</v>
      </c>
    </row>
    <row r="101" spans="1:15" x14ac:dyDescent="0.25">
      <c r="A101" s="19" t="s">
        <v>286</v>
      </c>
      <c r="B101" s="18" t="str">
        <f t="shared" si="1"/>
        <v>بالم هيلز للتعمير</v>
      </c>
      <c r="C101" s="18" t="str">
        <f>VLOOKUP(A101,Sheet1!C:F,2,0)</f>
        <v>بالم هيلز للتعمير</v>
      </c>
      <c r="D101" s="18" t="s">
        <v>40</v>
      </c>
      <c r="E101" s="18">
        <f>VLOOKUP(C101,Sheet2!A:N,4,0)</f>
        <v>16.010000000000002</v>
      </c>
      <c r="F101" s="18">
        <f>VLOOKUP(C101,Sheet2!A:N,5,0)</f>
        <v>16.010000000000002</v>
      </c>
      <c r="G101" s="18">
        <f>VLOOKUP(C101,Sheet2!A:N,6,0)</f>
        <v>15.8</v>
      </c>
      <c r="H101" s="18">
        <f>VLOOKUP(C101,Sheet2!A:N,7,0)</f>
        <v>-1.31</v>
      </c>
      <c r="I101" s="18">
        <f>VLOOKUP(C101,Sheet2!A:N,8,0)</f>
        <v>15.8</v>
      </c>
      <c r="J101" s="18">
        <f>VLOOKUP(C101,Sheet2!A:N,9,0)</f>
        <v>16.13</v>
      </c>
      <c r="K101" s="18">
        <f>VLOOKUP(C101,Sheet2!A:N,10,0)</f>
        <v>15.75</v>
      </c>
      <c r="L101" s="20">
        <f>VLOOKUP(C101,Sheet2!A:N,11,0)</f>
        <v>625832015.62</v>
      </c>
      <c r="M101" s="21">
        <f>VLOOKUP(C101,Sheet2!A:N,12,0)</f>
        <v>39253764</v>
      </c>
      <c r="N101" s="18">
        <f>VLOOKUP(C101,Sheet2!A:N,13,0)</f>
        <v>5802</v>
      </c>
      <c r="O101" s="21">
        <f>VLOOKUP(C101,Sheet2!A:N,14,0)</f>
        <v>45187</v>
      </c>
    </row>
    <row r="102" spans="1:15" x14ac:dyDescent="0.25">
      <c r="A102" s="19" t="s">
        <v>517</v>
      </c>
      <c r="B102" s="18" t="str">
        <f t="shared" si="1"/>
        <v>الاهرام للطباعة و التغليف</v>
      </c>
      <c r="C102" s="18" t="str">
        <f>VLOOKUP(A102,Sheet1!C:F,2,0)</f>
        <v>الاهرام للطباعة و التغليف</v>
      </c>
      <c r="D102" s="18" t="s">
        <v>42</v>
      </c>
      <c r="E102" s="18">
        <f>VLOOKUP(C102,Sheet2!A:N,4,0)</f>
        <v>11.86</v>
      </c>
      <c r="F102" s="18">
        <f>VLOOKUP(C102,Sheet2!A:N,5,0)</f>
        <v>11.86</v>
      </c>
      <c r="G102" s="18">
        <f>VLOOKUP(C102,Sheet2!A:N,6,0)</f>
        <v>12.34</v>
      </c>
      <c r="H102" s="18">
        <f>VLOOKUP(C102,Sheet2!A:N,7,0)</f>
        <v>4.05</v>
      </c>
      <c r="I102" s="18">
        <f>VLOOKUP(C102,Sheet2!A:N,8,0)</f>
        <v>12.3</v>
      </c>
      <c r="J102" s="18">
        <f>VLOOKUP(C102,Sheet2!A:N,9,0)</f>
        <v>12.45</v>
      </c>
      <c r="K102" s="18">
        <f>VLOOKUP(C102,Sheet2!A:N,10,0)</f>
        <v>11.75</v>
      </c>
      <c r="L102" s="20">
        <f>VLOOKUP(C102,Sheet2!A:N,11,0)</f>
        <v>723811.24</v>
      </c>
      <c r="M102" s="21">
        <f>VLOOKUP(C102,Sheet2!A:N,12,0)</f>
        <v>59388</v>
      </c>
      <c r="N102" s="18">
        <f>VLOOKUP(C102,Sheet2!A:N,13,0)</f>
        <v>69</v>
      </c>
      <c r="O102" s="21">
        <f>VLOOKUP(C102,Sheet2!A:N,14,0)</f>
        <v>103</v>
      </c>
    </row>
    <row r="103" spans="1:15" x14ac:dyDescent="0.25">
      <c r="A103" s="19" t="s">
        <v>462</v>
      </c>
      <c r="B103" s="18" t="str">
        <f t="shared" si="1"/>
        <v>اسيك للتعدين - اسكوم</v>
      </c>
      <c r="C103" s="18" t="str">
        <f>VLOOKUP(A103,Sheet1!C:F,2,0)</f>
        <v>اسيك للتعدين - اسكوم</v>
      </c>
      <c r="D103" s="18" t="s">
        <v>61</v>
      </c>
      <c r="E103" s="18">
        <f>VLOOKUP(C103,Sheet2!A:N,4,0)</f>
        <v>60.8</v>
      </c>
      <c r="F103" s="18">
        <f>VLOOKUP(C103,Sheet2!A:N,5,0)</f>
        <v>60.8</v>
      </c>
      <c r="G103" s="18">
        <f>VLOOKUP(C103,Sheet2!A:N,6,0)</f>
        <v>58.73</v>
      </c>
      <c r="H103" s="18">
        <f>VLOOKUP(C103,Sheet2!A:N,7,0)</f>
        <v>-3.4</v>
      </c>
      <c r="I103" s="18">
        <f>VLOOKUP(C103,Sheet2!A:N,8,0)</f>
        <v>58.73</v>
      </c>
      <c r="J103" s="18">
        <f>VLOOKUP(C103,Sheet2!A:N,9,0)</f>
        <v>61.26</v>
      </c>
      <c r="K103" s="18">
        <f>VLOOKUP(C103,Sheet2!A:N,10,0)</f>
        <v>58.73</v>
      </c>
      <c r="L103" s="20">
        <f>VLOOKUP(C103,Sheet2!A:N,11,0)</f>
        <v>42630949.299999997</v>
      </c>
      <c r="M103" s="21">
        <f>VLOOKUP(C103,Sheet2!A:N,12,0)</f>
        <v>712974</v>
      </c>
      <c r="N103" s="18">
        <f>VLOOKUP(C103,Sheet2!A:N,13,0)</f>
        <v>1057</v>
      </c>
      <c r="O103" s="21">
        <f>VLOOKUP(C103,Sheet2!A:N,14,0)</f>
        <v>2937</v>
      </c>
    </row>
    <row r="104" spans="1:15" x14ac:dyDescent="0.25">
      <c r="A104" s="19" t="s">
        <v>391</v>
      </c>
      <c r="B104" s="18" t="str">
        <f t="shared" si="1"/>
        <v>مينا فارم للأدوية و الصناعات الكيماوية</v>
      </c>
      <c r="C104" s="18" t="str">
        <f>VLOOKUP(A104,Sheet1!C:F,2,0)</f>
        <v>مينا فارم للأدوية و الصناعات الكيماوية</v>
      </c>
      <c r="D104" s="18" t="s">
        <v>51</v>
      </c>
      <c r="E104" s="18">
        <f>VLOOKUP(C104,Sheet2!A:N,4,0)</f>
        <v>662.15</v>
      </c>
      <c r="F104" s="18">
        <f>VLOOKUP(C104,Sheet2!A:N,5,0)</f>
        <v>662.15</v>
      </c>
      <c r="G104" s="18">
        <f>VLOOKUP(C104,Sheet2!A:N,6,0)</f>
        <v>664.14</v>
      </c>
      <c r="H104" s="18">
        <f>VLOOKUP(C104,Sheet2!A:N,7,0)</f>
        <v>0.3</v>
      </c>
      <c r="I104" s="18">
        <f>VLOOKUP(C104,Sheet2!A:N,8,0)</f>
        <v>669.98</v>
      </c>
      <c r="J104" s="18">
        <f>VLOOKUP(C104,Sheet2!A:N,9,0)</f>
        <v>670</v>
      </c>
      <c r="K104" s="18">
        <f>VLOOKUP(C104,Sheet2!A:N,10,0)</f>
        <v>654</v>
      </c>
      <c r="L104" s="20">
        <f>VLOOKUP(C104,Sheet2!A:N,11,0)</f>
        <v>1802889.12</v>
      </c>
      <c r="M104" s="21">
        <f>VLOOKUP(C104,Sheet2!A:N,12,0)</f>
        <v>2709</v>
      </c>
      <c r="N104" s="18">
        <f>VLOOKUP(C104,Sheet2!A:N,13,0)</f>
        <v>108</v>
      </c>
      <c r="O104" s="21">
        <f>VLOOKUP(C104,Sheet2!A:N,14,0)</f>
        <v>7824</v>
      </c>
    </row>
    <row r="105" spans="1:15" x14ac:dyDescent="0.25">
      <c r="A105" s="19" t="s">
        <v>305</v>
      </c>
      <c r="B105" s="18" t="str">
        <f t="shared" si="1"/>
        <v>سيدى كرير للبتروكيماويات - سيدبك</v>
      </c>
      <c r="C105" s="18" t="str">
        <f>VLOOKUP(A105,Sheet1!C:F,2,0)</f>
        <v>سيدى كرير للبتروكيماويات - سيدبك</v>
      </c>
      <c r="D105" s="18" t="s">
        <v>61</v>
      </c>
      <c r="E105" s="18">
        <f>VLOOKUP(C105,Sheet2!A:N,4,0)</f>
        <v>16.37</v>
      </c>
      <c r="F105" s="18">
        <f>VLOOKUP(C105,Sheet2!A:N,5,0)</f>
        <v>16.37</v>
      </c>
      <c r="G105" s="18">
        <f>VLOOKUP(C105,Sheet2!A:N,6,0)</f>
        <v>16.25</v>
      </c>
      <c r="H105" s="18">
        <f>VLOOKUP(C105,Sheet2!A:N,7,0)</f>
        <v>-0.73</v>
      </c>
      <c r="I105" s="18">
        <f>VLOOKUP(C105,Sheet2!A:N,8,0)</f>
        <v>16.25</v>
      </c>
      <c r="J105" s="18">
        <f>VLOOKUP(C105,Sheet2!A:N,9,0)</f>
        <v>16.420000000000002</v>
      </c>
      <c r="K105" s="18">
        <f>VLOOKUP(C105,Sheet2!A:N,10,0)</f>
        <v>16.16</v>
      </c>
      <c r="L105" s="20">
        <f>VLOOKUP(C105,Sheet2!A:N,11,0)</f>
        <v>21241136.170000002</v>
      </c>
      <c r="M105" s="21">
        <f>VLOOKUP(C105,Sheet2!A:N,12,0)</f>
        <v>1305664</v>
      </c>
      <c r="N105" s="18">
        <f>VLOOKUP(C105,Sheet2!A:N,13,0)</f>
        <v>1049</v>
      </c>
      <c r="O105" s="21">
        <f>VLOOKUP(C105,Sheet2!A:N,14,0)</f>
        <v>18428</v>
      </c>
    </row>
    <row r="106" spans="1:15" x14ac:dyDescent="0.25">
      <c r="A106" s="19" t="s">
        <v>518</v>
      </c>
      <c r="B106" s="18" t="str">
        <f t="shared" si="1"/>
        <v>مجموعة جى . أم . سى للاستثمارات الصناعية و التجارية المالية</v>
      </c>
      <c r="C106" s="18" t="str">
        <f>VLOOKUP(A106,Sheet1!C:F,2,0)</f>
        <v>مجموعة جى . أم . سى للاستثمارات الصناعية و التجارية المالية</v>
      </c>
      <c r="D106" s="18" t="s">
        <v>54</v>
      </c>
      <c r="E106" s="18">
        <f>VLOOKUP(C106,Sheet2!A:N,4,0)</f>
        <v>1.78</v>
      </c>
      <c r="F106" s="18">
        <f>VLOOKUP(C106,Sheet2!A:N,5,0)</f>
        <v>1.78</v>
      </c>
      <c r="G106" s="18">
        <f>VLOOKUP(C106,Sheet2!A:N,6,0)</f>
        <v>1.79</v>
      </c>
      <c r="H106" s="18">
        <f>VLOOKUP(C106,Sheet2!A:N,7,0)</f>
        <v>0.56000000000000005</v>
      </c>
      <c r="I106" s="18">
        <f>VLOOKUP(C106,Sheet2!A:N,8,0)</f>
        <v>1.77</v>
      </c>
      <c r="J106" s="18">
        <f>VLOOKUP(C106,Sheet2!A:N,9,0)</f>
        <v>1.84</v>
      </c>
      <c r="K106" s="18">
        <f>VLOOKUP(C106,Sheet2!A:N,10,0)</f>
        <v>1.74</v>
      </c>
      <c r="L106" s="20">
        <f>VLOOKUP(C106,Sheet2!A:N,11,0)</f>
        <v>555000.09</v>
      </c>
      <c r="M106" s="21">
        <f>VLOOKUP(C106,Sheet2!A:N,12,0)</f>
        <v>310898</v>
      </c>
      <c r="N106" s="18">
        <f>VLOOKUP(C106,Sheet2!A:N,13,0)</f>
        <v>48</v>
      </c>
      <c r="O106" s="21">
        <f>VLOOKUP(C106,Sheet2!A:N,14,0)</f>
        <v>74</v>
      </c>
    </row>
    <row r="107" spans="1:15" x14ac:dyDescent="0.25">
      <c r="A107" s="19" t="s">
        <v>239</v>
      </c>
      <c r="B107" s="18" t="str">
        <f t="shared" si="1"/>
        <v>السويدى اليكتريك</v>
      </c>
      <c r="C107" s="18" t="str">
        <f>VLOOKUP(A107,Sheet1!C:F,2,0)</f>
        <v>السويدى اليكتريك</v>
      </c>
      <c r="D107" s="18" t="s">
        <v>46</v>
      </c>
      <c r="E107" s="18">
        <f>VLOOKUP(C107,Sheet2!A:N,4,0)</f>
        <v>86.4</v>
      </c>
      <c r="F107" s="18">
        <f>VLOOKUP(C107,Sheet2!A:N,5,0)</f>
        <v>86.4</v>
      </c>
      <c r="G107" s="18">
        <f>VLOOKUP(C107,Sheet2!A:N,6,0)</f>
        <v>86.13</v>
      </c>
      <c r="H107" s="18">
        <f>VLOOKUP(C107,Sheet2!A:N,7,0)</f>
        <v>-0.31</v>
      </c>
      <c r="I107" s="18">
        <f>VLOOKUP(C107,Sheet2!A:N,8,0)</f>
        <v>86.13</v>
      </c>
      <c r="J107" s="18">
        <f>VLOOKUP(C107,Sheet2!A:N,9,0)</f>
        <v>87</v>
      </c>
      <c r="K107" s="18">
        <f>VLOOKUP(C107,Sheet2!A:N,10,0)</f>
        <v>86.09</v>
      </c>
      <c r="L107" s="20">
        <f>VLOOKUP(C107,Sheet2!A:N,11,0)</f>
        <v>5432740.0700000003</v>
      </c>
      <c r="M107" s="21">
        <f>VLOOKUP(C107,Sheet2!A:N,12,0)</f>
        <v>62963</v>
      </c>
      <c r="N107" s="18">
        <f>VLOOKUP(C107,Sheet2!A:N,13,0)</f>
        <v>497</v>
      </c>
      <c r="O107" s="21">
        <f>VLOOKUP(C107,Sheet2!A:N,14,0)</f>
        <v>184385</v>
      </c>
    </row>
    <row r="108" spans="1:15" x14ac:dyDescent="0.25">
      <c r="A108" s="19" t="s">
        <v>242</v>
      </c>
      <c r="B108" s="18" t="str">
        <f t="shared" si="1"/>
        <v>الشرقية - ايسترن كومباني</v>
      </c>
      <c r="C108" s="18" t="str">
        <f>VLOOKUP(A108,Sheet1!C:F,2,0)</f>
        <v>الشرقية - ايسترن كومباني</v>
      </c>
      <c r="D108" s="18" t="s">
        <v>48</v>
      </c>
      <c r="E108" s="18">
        <f>VLOOKUP(C108,Sheet2!A:N,4,0)</f>
        <v>39.9</v>
      </c>
      <c r="F108" s="18">
        <f>VLOOKUP(C108,Sheet2!A:N,5,0)</f>
        <v>39.9</v>
      </c>
      <c r="G108" s="18">
        <f>VLOOKUP(C108,Sheet2!A:N,6,0)</f>
        <v>39</v>
      </c>
      <c r="H108" s="18">
        <f>VLOOKUP(C108,Sheet2!A:N,7,0)</f>
        <v>-2.2599999999999998</v>
      </c>
      <c r="I108" s="18">
        <f>VLOOKUP(C108,Sheet2!A:N,8,0)</f>
        <v>39</v>
      </c>
      <c r="J108" s="18">
        <f>VLOOKUP(C108,Sheet2!A:N,9,0)</f>
        <v>40.590000000000003</v>
      </c>
      <c r="K108" s="18">
        <f>VLOOKUP(C108,Sheet2!A:N,10,0)</f>
        <v>38.9</v>
      </c>
      <c r="L108" s="20">
        <f>VLOOKUP(C108,Sheet2!A:N,11,0)</f>
        <v>32398895.23</v>
      </c>
      <c r="M108" s="21">
        <f>VLOOKUP(C108,Sheet2!A:N,12,0)</f>
        <v>811188</v>
      </c>
      <c r="N108" s="18">
        <f>VLOOKUP(C108,Sheet2!A:N,13,0)</f>
        <v>642</v>
      </c>
      <c r="O108" s="21">
        <f>VLOOKUP(C108,Sheet2!A:N,14,0)</f>
        <v>117000</v>
      </c>
    </row>
    <row r="109" spans="1:15" x14ac:dyDescent="0.25">
      <c r="A109" s="19" t="s">
        <v>323</v>
      </c>
      <c r="B109" s="18" t="str">
        <f t="shared" si="1"/>
        <v>المصرية الدولية للصناعات الدوائية - ايبيكو</v>
      </c>
      <c r="C109" s="18" t="str">
        <f>VLOOKUP(A109,Sheet1!C:F,2,0)</f>
        <v>المصرية الدولية للصناعات الدوائية - ايبيكو</v>
      </c>
      <c r="D109" s="18" t="s">
        <v>51</v>
      </c>
      <c r="E109" s="18">
        <f>VLOOKUP(C109,Sheet2!A:N,4,0)</f>
        <v>84.02</v>
      </c>
      <c r="F109" s="18">
        <f>VLOOKUP(C109,Sheet2!A:N,5,0)</f>
        <v>84.02</v>
      </c>
      <c r="G109" s="18">
        <f>VLOOKUP(C109,Sheet2!A:N,6,0)</f>
        <v>84</v>
      </c>
      <c r="H109" s="18">
        <f>VLOOKUP(C109,Sheet2!A:N,7,0)</f>
        <v>-0.02</v>
      </c>
      <c r="I109" s="18">
        <f>VLOOKUP(C109,Sheet2!A:N,8,0)</f>
        <v>84</v>
      </c>
      <c r="J109" s="18">
        <f>VLOOKUP(C109,Sheet2!A:N,9,0)</f>
        <v>84.5</v>
      </c>
      <c r="K109" s="18">
        <f>VLOOKUP(C109,Sheet2!A:N,10,0)</f>
        <v>83.5</v>
      </c>
      <c r="L109" s="20">
        <f>VLOOKUP(C109,Sheet2!A:N,11,0)</f>
        <v>12886326.85</v>
      </c>
      <c r="M109" s="21">
        <f>VLOOKUP(C109,Sheet2!A:N,12,0)</f>
        <v>153689</v>
      </c>
      <c r="N109" s="18">
        <f>VLOOKUP(C109,Sheet2!A:N,13,0)</f>
        <v>466</v>
      </c>
      <c r="O109" s="21">
        <f>VLOOKUP(C109,Sheet2!A:N,14,0)</f>
        <v>14175</v>
      </c>
    </row>
    <row r="110" spans="1:15" x14ac:dyDescent="0.25">
      <c r="A110" s="19" t="s">
        <v>521</v>
      </c>
      <c r="B110" s="18" t="str">
        <f t="shared" si="1"/>
        <v>يونيفرسال لصناعة مواد التعبئة و التغليف و الورق - يونيباك</v>
      </c>
      <c r="C110" s="18" t="str">
        <f>VLOOKUP(A110,Sheet1!C:F,2,0)</f>
        <v>يونيفرسال لصناعة مواد التعبئة و التغليف و الورق - يونيباك</v>
      </c>
      <c r="D110" s="18" t="s">
        <v>42</v>
      </c>
      <c r="E110" s="18">
        <f>VLOOKUP(C110,Sheet2!A:N,4,0)</f>
        <v>0.32200000000000001</v>
      </c>
      <c r="F110" s="18">
        <f>VLOOKUP(C110,Sheet2!A:N,5,0)</f>
        <v>0.32200000000000001</v>
      </c>
      <c r="G110" s="18">
        <f>VLOOKUP(C110,Sheet2!A:N,6,0)</f>
        <v>0.33600000000000002</v>
      </c>
      <c r="H110" s="18">
        <f>VLOOKUP(C110,Sheet2!A:N,7,0)</f>
        <v>4.3499999999999996</v>
      </c>
      <c r="I110" s="18">
        <f>VLOOKUP(C110,Sheet2!A:N,8,0)</f>
        <v>0.33600000000000002</v>
      </c>
      <c r="J110" s="18">
        <f>VLOOKUP(C110,Sheet2!A:N,9,0)</f>
        <v>0.34899999999999998</v>
      </c>
      <c r="K110" s="18">
        <f>VLOOKUP(C110,Sheet2!A:N,10,0)</f>
        <v>0.33400000000000002</v>
      </c>
      <c r="L110" s="20">
        <f>VLOOKUP(C110,Sheet2!A:N,11,0)</f>
        <v>79503494.099999994</v>
      </c>
      <c r="M110" s="21">
        <f>VLOOKUP(C110,Sheet2!A:N,12,0)</f>
        <v>232793776</v>
      </c>
      <c r="N110" s="18">
        <f>VLOOKUP(C110,Sheet2!A:N,13,0)</f>
        <v>2113</v>
      </c>
      <c r="O110" s="21">
        <f>VLOOKUP(C110,Sheet2!A:N,14,0)</f>
        <v>770</v>
      </c>
    </row>
    <row r="111" spans="1:15" x14ac:dyDescent="0.25">
      <c r="A111" s="19" t="s">
        <v>416</v>
      </c>
      <c r="B111" s="18" t="str">
        <f t="shared" si="1"/>
        <v>مصر لصناعة الكيماويات</v>
      </c>
      <c r="C111" s="18" t="str">
        <f>VLOOKUP(A111,Sheet1!C:F,2,0)</f>
        <v>مصر لصناعة الكيماويات</v>
      </c>
      <c r="D111" s="18" t="s">
        <v>61</v>
      </c>
      <c r="E111" s="18">
        <f>VLOOKUP(C111,Sheet2!A:N,4,0)</f>
        <v>37</v>
      </c>
      <c r="F111" s="18">
        <f>VLOOKUP(C111,Sheet2!A:N,5,0)</f>
        <v>37</v>
      </c>
      <c r="G111" s="18">
        <f>VLOOKUP(C111,Sheet2!A:N,6,0)</f>
        <v>37.79</v>
      </c>
      <c r="H111" s="18">
        <f>VLOOKUP(C111,Sheet2!A:N,7,0)</f>
        <v>2.14</v>
      </c>
      <c r="I111" s="18">
        <f>VLOOKUP(C111,Sheet2!A:N,8,0)</f>
        <v>37.79</v>
      </c>
      <c r="J111" s="18">
        <f>VLOOKUP(C111,Sheet2!A:N,9,0)</f>
        <v>37.9</v>
      </c>
      <c r="K111" s="18">
        <f>VLOOKUP(C111,Sheet2!A:N,10,0)</f>
        <v>37.020000000000003</v>
      </c>
      <c r="L111" s="20">
        <f>VLOOKUP(C111,Sheet2!A:N,11,0)</f>
        <v>7130593.2699999996</v>
      </c>
      <c r="M111" s="21">
        <f>VLOOKUP(C111,Sheet2!A:N,12,0)</f>
        <v>190059</v>
      </c>
      <c r="N111" s="18">
        <f>VLOOKUP(C111,Sheet2!A:N,13,0)</f>
        <v>347</v>
      </c>
      <c r="O111" s="21">
        <f>VLOOKUP(C111,Sheet2!A:N,14,0)</f>
        <v>4145</v>
      </c>
    </row>
    <row r="112" spans="1:15" x14ac:dyDescent="0.25">
      <c r="A112" s="19" t="s">
        <v>464</v>
      </c>
      <c r="B112" s="18" t="str">
        <f t="shared" si="1"/>
        <v>ممفيس للادوية والصناعات الكيماوية</v>
      </c>
      <c r="C112" s="18" t="str">
        <f>VLOOKUP(A112,Sheet1!C:F,2,0)</f>
        <v>ممفيس للادوية والصناعات الكيماوية</v>
      </c>
      <c r="D112" s="18" t="s">
        <v>51</v>
      </c>
      <c r="E112" s="18">
        <f>VLOOKUP(C112,Sheet2!A:N,4,0)</f>
        <v>219</v>
      </c>
      <c r="F112" s="18">
        <f>VLOOKUP(C112,Sheet2!A:N,5,0)</f>
        <v>219</v>
      </c>
      <c r="G112" s="18">
        <f>VLOOKUP(C112,Sheet2!A:N,6,0)</f>
        <v>220.97</v>
      </c>
      <c r="H112" s="18">
        <f>VLOOKUP(C112,Sheet2!A:N,7,0)</f>
        <v>0.9</v>
      </c>
      <c r="I112" s="18">
        <f>VLOOKUP(C112,Sheet2!A:N,8,0)</f>
        <v>220.97</v>
      </c>
      <c r="J112" s="18">
        <f>VLOOKUP(C112,Sheet2!A:N,9,0)</f>
        <v>222</v>
      </c>
      <c r="K112" s="18">
        <f>VLOOKUP(C112,Sheet2!A:N,10,0)</f>
        <v>217</v>
      </c>
      <c r="L112" s="20">
        <f>VLOOKUP(C112,Sheet2!A:N,11,0)</f>
        <v>82515131.780000001</v>
      </c>
      <c r="M112" s="21">
        <f>VLOOKUP(C112,Sheet2!A:N,12,0)</f>
        <v>375879</v>
      </c>
      <c r="N112" s="18">
        <f>VLOOKUP(C112,Sheet2!A:N,13,0)</f>
        <v>462</v>
      </c>
      <c r="O112" s="21">
        <f>VLOOKUP(C112,Sheet2!A:N,14,0)</f>
        <v>5027</v>
      </c>
    </row>
    <row r="113" spans="1:15" x14ac:dyDescent="0.25">
      <c r="A113" s="19" t="s">
        <v>404</v>
      </c>
      <c r="B113" s="18" t="str">
        <f t="shared" si="1"/>
        <v>الاسكندرية للادوية والصناعات الكيماوية</v>
      </c>
      <c r="C113" s="18" t="str">
        <f>VLOOKUP(A113,Sheet1!C:F,2,0)</f>
        <v>الاسكندرية للادوية والصناعات الكيماوية</v>
      </c>
      <c r="D113" s="18" t="s">
        <v>51</v>
      </c>
      <c r="E113" s="18">
        <f>VLOOKUP(C113,Sheet2!A:N,4,0)</f>
        <v>1121.32</v>
      </c>
      <c r="F113" s="18">
        <f>VLOOKUP(C113,Sheet2!A:N,5,0)</f>
        <v>1121.32</v>
      </c>
      <c r="G113" s="18">
        <f>VLOOKUP(C113,Sheet2!A:N,6,0)</f>
        <v>1081.8399999999999</v>
      </c>
      <c r="H113" s="18">
        <f>VLOOKUP(C113,Sheet2!A:N,7,0)</f>
        <v>-3.52</v>
      </c>
      <c r="I113" s="18">
        <f>VLOOKUP(C113,Sheet2!A:N,8,0)</f>
        <v>1081.8399999999999</v>
      </c>
      <c r="J113" s="18">
        <f>VLOOKUP(C113,Sheet2!A:N,9,0)</f>
        <v>1137.9000000000001</v>
      </c>
      <c r="K113" s="18">
        <f>VLOOKUP(C113,Sheet2!A:N,10,0)</f>
        <v>1073</v>
      </c>
      <c r="L113" s="20">
        <f>VLOOKUP(C113,Sheet2!A:N,11,0)</f>
        <v>1725123.56</v>
      </c>
      <c r="M113" s="21">
        <f>VLOOKUP(C113,Sheet2!A:N,12,0)</f>
        <v>1556</v>
      </c>
      <c r="N113" s="18">
        <f>VLOOKUP(C113,Sheet2!A:N,13,0)</f>
        <v>168</v>
      </c>
      <c r="O113" s="21">
        <f>VLOOKUP(C113,Sheet2!A:N,14,0)</f>
        <v>5409</v>
      </c>
    </row>
    <row r="114" spans="1:15" x14ac:dyDescent="0.25">
      <c r="A114" s="19" t="s">
        <v>381</v>
      </c>
      <c r="B114" s="18" t="str">
        <f t="shared" si="1"/>
        <v>النيل للادوية والصناعات الكيماوية - النيل</v>
      </c>
      <c r="C114" s="18" t="str">
        <f>VLOOKUP(A114,Sheet1!C:F,2,0)</f>
        <v>النيل للادوية والصناعات الكيماوية - النيل</v>
      </c>
      <c r="D114" s="18" t="s">
        <v>51</v>
      </c>
      <c r="E114" s="18">
        <f>VLOOKUP(C114,Sheet2!A:N,4,0)</f>
        <v>161.9</v>
      </c>
      <c r="F114" s="18">
        <f>VLOOKUP(C114,Sheet2!A:N,5,0)</f>
        <v>161.9</v>
      </c>
      <c r="G114" s="18">
        <f>VLOOKUP(C114,Sheet2!A:N,6,0)</f>
        <v>160.6</v>
      </c>
      <c r="H114" s="18">
        <f>VLOOKUP(C114,Sheet2!A:N,7,0)</f>
        <v>-0.8</v>
      </c>
      <c r="I114" s="18">
        <f>VLOOKUP(C114,Sheet2!A:N,8,0)</f>
        <v>160.6</v>
      </c>
      <c r="J114" s="18">
        <f>VLOOKUP(C114,Sheet2!A:N,9,0)</f>
        <v>162.99</v>
      </c>
      <c r="K114" s="18">
        <f>VLOOKUP(C114,Sheet2!A:N,10,0)</f>
        <v>160</v>
      </c>
      <c r="L114" s="20">
        <f>VLOOKUP(C114,Sheet2!A:N,11,0)</f>
        <v>51026428.450000003</v>
      </c>
      <c r="M114" s="21">
        <f>VLOOKUP(C114,Sheet2!A:N,12,0)</f>
        <v>316981</v>
      </c>
      <c r="N114" s="18">
        <f>VLOOKUP(C114,Sheet2!A:N,13,0)</f>
        <v>805</v>
      </c>
      <c r="O114" s="21">
        <f>VLOOKUP(C114,Sheet2!A:N,14,0)</f>
        <v>8030</v>
      </c>
    </row>
    <row r="115" spans="1:15" x14ac:dyDescent="0.25">
      <c r="A115" s="19" t="s">
        <v>465</v>
      </c>
      <c r="B115" s="18" t="str">
        <f t="shared" si="1"/>
        <v>EAC المصرية العربية (ثمار) لتداول الاوراق المالية والسندات</v>
      </c>
      <c r="C115" s="18" t="str">
        <f>VLOOKUP(A115,Sheet1!C:F,2,0)</f>
        <v>EAC المصرية العربية (ثمار) لتداول الاوراق المالية والسندات</v>
      </c>
      <c r="D115" s="18" t="s">
        <v>44</v>
      </c>
      <c r="E115" s="18">
        <f>VLOOKUP(C115,Sheet2!A:N,4,0)</f>
        <v>6.11</v>
      </c>
      <c r="F115" s="18">
        <f>VLOOKUP(C115,Sheet2!A:N,5,0)</f>
        <v>6.11</v>
      </c>
      <c r="G115" s="18">
        <f>VLOOKUP(C115,Sheet2!A:N,6,0)</f>
        <v>7.33</v>
      </c>
      <c r="H115" s="18">
        <f>VLOOKUP(C115,Sheet2!A:N,7,0)</f>
        <v>19.97</v>
      </c>
      <c r="I115" s="18">
        <f>VLOOKUP(C115,Sheet2!A:N,8,0)</f>
        <v>7.33</v>
      </c>
      <c r="J115" s="18">
        <f>VLOOKUP(C115,Sheet2!A:N,9,0)</f>
        <v>7.33</v>
      </c>
      <c r="K115" s="18">
        <f>VLOOKUP(C115,Sheet2!A:N,10,0)</f>
        <v>5.9</v>
      </c>
      <c r="L115" s="20">
        <f>VLOOKUP(C115,Sheet2!A:N,11,0)</f>
        <v>29375707.350000001</v>
      </c>
      <c r="M115" s="21">
        <f>VLOOKUP(C115,Sheet2!A:N,12,0)</f>
        <v>4223877</v>
      </c>
      <c r="N115" s="18">
        <f>VLOOKUP(C115,Sheet2!A:N,13,0)</f>
        <v>1306</v>
      </c>
      <c r="O115" s="21">
        <f>VLOOKUP(C115,Sheet2!A:N,14,0)</f>
        <v>733</v>
      </c>
    </row>
    <row r="116" spans="1:15" x14ac:dyDescent="0.25">
      <c r="A116" s="19" t="s">
        <v>522</v>
      </c>
      <c r="B116" s="18" t="str">
        <f t="shared" si="1"/>
        <v>النصر لتصنيع الحاصلات الزراعية</v>
      </c>
      <c r="C116" s="18" t="str">
        <f>VLOOKUP(A116,Sheet1!C:F,2,0)</f>
        <v>النصر لتصنيع الحاصلات الزراعية</v>
      </c>
      <c r="D116" s="18" t="s">
        <v>48</v>
      </c>
      <c r="E116" s="18">
        <f>VLOOKUP(C116,Sheet2!A:N,4,0)</f>
        <v>37.74</v>
      </c>
      <c r="F116" s="18">
        <f>VLOOKUP(C116,Sheet2!A:N,5,0)</f>
        <v>37.74</v>
      </c>
      <c r="G116" s="18">
        <f>VLOOKUP(C116,Sheet2!A:N,6,0)</f>
        <v>39.450000000000003</v>
      </c>
      <c r="H116" s="18">
        <f>VLOOKUP(C116,Sheet2!A:N,7,0)</f>
        <v>4.53</v>
      </c>
      <c r="I116" s="18">
        <f>VLOOKUP(C116,Sheet2!A:N,8,0)</f>
        <v>38.61</v>
      </c>
      <c r="J116" s="18">
        <f>VLOOKUP(C116,Sheet2!A:N,9,0)</f>
        <v>39.619999999999997</v>
      </c>
      <c r="K116" s="18">
        <f>VLOOKUP(C116,Sheet2!A:N,10,0)</f>
        <v>37.5</v>
      </c>
      <c r="L116" s="20">
        <f>VLOOKUP(C116,Sheet2!A:N,11,0)</f>
        <v>578597.14</v>
      </c>
      <c r="M116" s="21">
        <f>VLOOKUP(C116,Sheet2!A:N,12,0)</f>
        <v>15010</v>
      </c>
      <c r="N116" s="18">
        <f>VLOOKUP(C116,Sheet2!A:N,13,0)</f>
        <v>66</v>
      </c>
      <c r="O116" s="21">
        <f>VLOOKUP(C116,Sheet2!A:N,14,0)</f>
        <v>310</v>
      </c>
    </row>
    <row r="117" spans="1:15" x14ac:dyDescent="0.25">
      <c r="A117" s="19" t="s">
        <v>523</v>
      </c>
      <c r="B117" s="18" t="str">
        <f t="shared" si="1"/>
        <v>العربية للمحابس</v>
      </c>
      <c r="C117" s="18" t="str">
        <f>VLOOKUP(A117,Sheet1!C:F,2,0)</f>
        <v>العربية للمحابس</v>
      </c>
      <c r="D117" s="18" t="s">
        <v>93</v>
      </c>
      <c r="E117" s="18">
        <f>VLOOKUP(C117,Sheet2!A:N,4,0)</f>
        <v>11.84</v>
      </c>
      <c r="F117" s="18">
        <f>VLOOKUP(C117,Sheet2!A:N,5,0)</f>
        <v>11.84</v>
      </c>
      <c r="G117" s="18">
        <f>VLOOKUP(C117,Sheet2!A:N,6,0)</f>
        <v>11.27</v>
      </c>
      <c r="H117" s="18">
        <f>VLOOKUP(C117,Sheet2!A:N,7,0)</f>
        <v>-4.8099999999999996</v>
      </c>
      <c r="I117" s="18">
        <f>VLOOKUP(C117,Sheet2!A:N,8,0)</f>
        <v>11.27</v>
      </c>
      <c r="J117" s="18">
        <f>VLOOKUP(C117,Sheet2!A:N,9,0)</f>
        <v>12</v>
      </c>
      <c r="K117" s="18">
        <f>VLOOKUP(C117,Sheet2!A:N,10,0)</f>
        <v>11.2</v>
      </c>
      <c r="L117" s="20">
        <f>VLOOKUP(C117,Sheet2!A:N,11,0)</f>
        <v>43454692.490000002</v>
      </c>
      <c r="M117" s="21">
        <f>VLOOKUP(C117,Sheet2!A:N,12,0)</f>
        <v>3801122</v>
      </c>
      <c r="N117" s="18">
        <f>VLOOKUP(C117,Sheet2!A:N,13,0)</f>
        <v>1448</v>
      </c>
      <c r="O117" s="21">
        <f>VLOOKUP(C117,Sheet2!A:N,14,0)</f>
        <v>845</v>
      </c>
    </row>
    <row r="118" spans="1:15" x14ac:dyDescent="0.25">
      <c r="A118" s="19" t="s">
        <v>276</v>
      </c>
      <c r="B118" s="18" t="str">
        <f t="shared" si="1"/>
        <v>جى بى كوربوريشن</v>
      </c>
      <c r="C118" s="18" t="str">
        <f>VLOOKUP(A118,Sheet1!C:F,2,0)</f>
        <v>جى بى كوربوريشن</v>
      </c>
      <c r="D118" s="18" t="s">
        <v>46</v>
      </c>
      <c r="E118" s="18">
        <f>VLOOKUP(C118,Sheet2!A:N,4,0)</f>
        <v>28.5</v>
      </c>
      <c r="F118" s="18">
        <f>VLOOKUP(C118,Sheet2!A:N,5,0)</f>
        <v>28.5</v>
      </c>
      <c r="G118" s="18">
        <f>VLOOKUP(C118,Sheet2!A:N,6,0)</f>
        <v>28.33</v>
      </c>
      <c r="H118" s="18">
        <f>VLOOKUP(C118,Sheet2!A:N,7,0)</f>
        <v>-0.6</v>
      </c>
      <c r="I118" s="18">
        <f>VLOOKUP(C118,Sheet2!A:N,8,0)</f>
        <v>28.33</v>
      </c>
      <c r="J118" s="18">
        <f>VLOOKUP(C118,Sheet2!A:N,9,0)</f>
        <v>28.55</v>
      </c>
      <c r="K118" s="18">
        <f>VLOOKUP(C118,Sheet2!A:N,10,0)</f>
        <v>27.77</v>
      </c>
      <c r="L118" s="20">
        <f>VLOOKUP(C118,Sheet2!A:N,11,0)</f>
        <v>46990746.539999999</v>
      </c>
      <c r="M118" s="21">
        <f>VLOOKUP(C118,Sheet2!A:N,12,0)</f>
        <v>1672093</v>
      </c>
      <c r="N118" s="18">
        <f>VLOOKUP(C118,Sheet2!A:N,13,0)</f>
        <v>862</v>
      </c>
      <c r="O118" s="21">
        <f>VLOOKUP(C118,Sheet2!A:N,14,0)</f>
        <v>30752</v>
      </c>
    </row>
    <row r="119" spans="1:15" x14ac:dyDescent="0.25">
      <c r="A119" s="19" t="s">
        <v>335</v>
      </c>
      <c r="B119" s="18" t="str">
        <f t="shared" si="1"/>
        <v>سى اى كابيتال القابضة للاستثمارات المالية</v>
      </c>
      <c r="C119" s="18" t="str">
        <f>VLOOKUP(A119,Sheet1!C:F,2,0)</f>
        <v>سى اى كابيتال القابضة للاستثمارات المالية</v>
      </c>
      <c r="D119" s="18" t="s">
        <v>44</v>
      </c>
      <c r="E119" s="18">
        <f>VLOOKUP(C119,Sheet2!A:N,4,0)</f>
        <v>11.6</v>
      </c>
      <c r="F119" s="18">
        <f>VLOOKUP(C119,Sheet2!A:N,5,0)</f>
        <v>11.6</v>
      </c>
      <c r="G119" s="18">
        <f>VLOOKUP(C119,Sheet2!A:N,6,0)</f>
        <v>11.53</v>
      </c>
      <c r="H119" s="18">
        <f>VLOOKUP(C119,Sheet2!A:N,7,0)</f>
        <v>-0.6</v>
      </c>
      <c r="I119" s="18">
        <f>VLOOKUP(C119,Sheet2!A:N,8,0)</f>
        <v>11.53</v>
      </c>
      <c r="J119" s="18">
        <f>VLOOKUP(C119,Sheet2!A:N,9,0)</f>
        <v>11.75</v>
      </c>
      <c r="K119" s="18">
        <f>VLOOKUP(C119,Sheet2!A:N,10,0)</f>
        <v>11.45</v>
      </c>
      <c r="L119" s="20">
        <f>VLOOKUP(C119,Sheet2!A:N,11,0)</f>
        <v>1558244.2</v>
      </c>
      <c r="M119" s="21">
        <f>VLOOKUP(C119,Sheet2!A:N,12,0)</f>
        <v>134738</v>
      </c>
      <c r="N119" s="18">
        <f>VLOOKUP(C119,Sheet2!A:N,13,0)</f>
        <v>101</v>
      </c>
      <c r="O119" s="21">
        <f>VLOOKUP(C119,Sheet2!A:N,14,0)</f>
        <v>11530</v>
      </c>
    </row>
    <row r="120" spans="1:15" x14ac:dyDescent="0.25">
      <c r="A120" s="19" t="s">
        <v>237</v>
      </c>
      <c r="B120" s="18" t="str">
        <f t="shared" si="1"/>
        <v>مجموعة طلعت مصطفى القابضة</v>
      </c>
      <c r="C120" s="18" t="str">
        <f>VLOOKUP(A120,Sheet1!C:F,2,0)</f>
        <v>مجموعة طلعت مصطفى القابضة</v>
      </c>
      <c r="D120" s="18" t="s">
        <v>40</v>
      </c>
      <c r="E120" s="18">
        <f>VLOOKUP(C120,Sheet2!A:N,4,0)</f>
        <v>95.3</v>
      </c>
      <c r="F120" s="18">
        <f>VLOOKUP(C120,Sheet2!A:N,5,0)</f>
        <v>95.3</v>
      </c>
      <c r="G120" s="18">
        <f>VLOOKUP(C120,Sheet2!A:N,6,0)</f>
        <v>95.6</v>
      </c>
      <c r="H120" s="18">
        <f>VLOOKUP(C120,Sheet2!A:N,7,0)</f>
        <v>0.31</v>
      </c>
      <c r="I120" s="18">
        <f>VLOOKUP(C120,Sheet2!A:N,8,0)</f>
        <v>95.6</v>
      </c>
      <c r="J120" s="18">
        <f>VLOOKUP(C120,Sheet2!A:N,9,0)</f>
        <v>95.69</v>
      </c>
      <c r="K120" s="18">
        <f>VLOOKUP(C120,Sheet2!A:N,10,0)</f>
        <v>94.55</v>
      </c>
      <c r="L120" s="20">
        <f>VLOOKUP(C120,Sheet2!A:N,11,0)</f>
        <v>470194114.11000001</v>
      </c>
      <c r="M120" s="21">
        <f>VLOOKUP(C120,Sheet2!A:N,12,0)</f>
        <v>4947159</v>
      </c>
      <c r="N120" s="18">
        <f>VLOOKUP(C120,Sheet2!A:N,13,0)</f>
        <v>2636</v>
      </c>
      <c r="O120" s="21">
        <f>VLOOKUP(C120,Sheet2!A:N,14,0)</f>
        <v>196999</v>
      </c>
    </row>
    <row r="121" spans="1:15" x14ac:dyDescent="0.25">
      <c r="A121" s="19" t="s">
        <v>274</v>
      </c>
      <c r="B121" s="18" t="str">
        <f t="shared" si="1"/>
        <v>بلتون القابضة</v>
      </c>
      <c r="C121" s="18" t="str">
        <f>VLOOKUP(A121,Sheet1!C:F,2,0)</f>
        <v>بلتون القابضة</v>
      </c>
      <c r="D121" s="18" t="s">
        <v>44</v>
      </c>
      <c r="E121" s="18">
        <f>VLOOKUP(C121,Sheet2!A:N,4,0)</f>
        <v>3.02</v>
      </c>
      <c r="F121" s="18">
        <f>VLOOKUP(C121,Sheet2!A:N,5,0)</f>
        <v>3.02</v>
      </c>
      <c r="G121" s="18">
        <f>VLOOKUP(C121,Sheet2!A:N,6,0)</f>
        <v>2.99</v>
      </c>
      <c r="H121" s="18">
        <f>VLOOKUP(C121,Sheet2!A:N,7,0)</f>
        <v>-0.99</v>
      </c>
      <c r="I121" s="18">
        <f>VLOOKUP(C121,Sheet2!A:N,8,0)</f>
        <v>2.99</v>
      </c>
      <c r="J121" s="18">
        <f>VLOOKUP(C121,Sheet2!A:N,9,0)</f>
        <v>3.05</v>
      </c>
      <c r="K121" s="18">
        <f>VLOOKUP(C121,Sheet2!A:N,10,0)</f>
        <v>2.99</v>
      </c>
      <c r="L121" s="20">
        <f>VLOOKUP(C121,Sheet2!A:N,11,0)</f>
        <v>129468775.31999999</v>
      </c>
      <c r="M121" s="21">
        <f>VLOOKUP(C121,Sheet2!A:N,12,0)</f>
        <v>42964820</v>
      </c>
      <c r="N121" s="18">
        <f>VLOOKUP(C121,Sheet2!A:N,13,0)</f>
        <v>1574</v>
      </c>
      <c r="O121" s="21">
        <f>VLOOKUP(C121,Sheet2!A:N,14,0)</f>
        <v>32047</v>
      </c>
    </row>
    <row r="122" spans="1:15" x14ac:dyDescent="0.25">
      <c r="A122" s="19" t="s">
        <v>524</v>
      </c>
      <c r="B122" s="18" t="str">
        <f t="shared" si="1"/>
        <v>برايم القابضة للاستثمارات المالية</v>
      </c>
      <c r="C122" s="18" t="str">
        <f>VLOOKUP(A122,Sheet1!C:F,2,0)</f>
        <v>برايم القابضة للاستثمارات المالية</v>
      </c>
      <c r="D122" s="18" t="s">
        <v>44</v>
      </c>
      <c r="E122" s="18">
        <f>VLOOKUP(C122,Sheet2!A:N,4,0)</f>
        <v>2.77</v>
      </c>
      <c r="F122" s="18">
        <f>VLOOKUP(C122,Sheet2!A:N,5,0)</f>
        <v>2.77</v>
      </c>
      <c r="G122" s="18">
        <f>VLOOKUP(C122,Sheet2!A:N,6,0)</f>
        <v>2.85</v>
      </c>
      <c r="H122" s="18">
        <f>VLOOKUP(C122,Sheet2!A:N,7,0)</f>
        <v>2.89</v>
      </c>
      <c r="I122" s="18">
        <f>VLOOKUP(C122,Sheet2!A:N,8,0)</f>
        <v>2.85</v>
      </c>
      <c r="J122" s="18">
        <f>VLOOKUP(C122,Sheet2!A:N,9,0)</f>
        <v>3.02</v>
      </c>
      <c r="K122" s="18">
        <f>VLOOKUP(C122,Sheet2!A:N,10,0)</f>
        <v>2.78</v>
      </c>
      <c r="L122" s="20">
        <f>VLOOKUP(C122,Sheet2!A:N,11,0)</f>
        <v>44973943.18</v>
      </c>
      <c r="M122" s="21">
        <f>VLOOKUP(C122,Sheet2!A:N,12,0)</f>
        <v>15532584</v>
      </c>
      <c r="N122" s="18">
        <f>VLOOKUP(C122,Sheet2!A:N,13,0)</f>
        <v>1356</v>
      </c>
      <c r="O122" s="21">
        <f>VLOOKUP(C122,Sheet2!A:N,14,0)</f>
        <v>998</v>
      </c>
    </row>
    <row r="123" spans="1:15" x14ac:dyDescent="0.25">
      <c r="A123" s="19" t="s">
        <v>466</v>
      </c>
      <c r="B123" s="18" t="str">
        <f t="shared" si="1"/>
        <v>العروبة للسمسرة فى الأوراق المالية</v>
      </c>
      <c r="C123" s="18" t="str">
        <f>VLOOKUP(A123,Sheet1!C:F,2,0)</f>
        <v>العروبة للسمسرة فى الأوراق المالية</v>
      </c>
      <c r="D123" s="18" t="s">
        <v>44</v>
      </c>
      <c r="E123" s="18">
        <f>VLOOKUP(C123,Sheet2!A:N,4,0)</f>
        <v>1.48</v>
      </c>
      <c r="F123" s="18">
        <f>VLOOKUP(C123,Sheet2!A:N,5,0)</f>
        <v>1.48</v>
      </c>
      <c r="G123" s="18">
        <f>VLOOKUP(C123,Sheet2!A:N,6,0)</f>
        <v>1.48</v>
      </c>
      <c r="H123" s="18">
        <f>VLOOKUP(C123,Sheet2!A:N,7,0)</f>
        <v>0</v>
      </c>
      <c r="I123" s="18">
        <f>VLOOKUP(C123,Sheet2!A:N,8,0)</f>
        <v>1.49</v>
      </c>
      <c r="J123" s="18">
        <f>VLOOKUP(C123,Sheet2!A:N,9,0)</f>
        <v>1.55</v>
      </c>
      <c r="K123" s="18">
        <f>VLOOKUP(C123,Sheet2!A:N,10,0)</f>
        <v>1.42</v>
      </c>
      <c r="L123" s="20">
        <f>VLOOKUP(C123,Sheet2!A:N,11,0)</f>
        <v>235027.47</v>
      </c>
      <c r="M123" s="21">
        <f>VLOOKUP(C123,Sheet2!A:N,12,0)</f>
        <v>155136</v>
      </c>
      <c r="N123" s="18">
        <f>VLOOKUP(C123,Sheet2!A:N,13,0)</f>
        <v>63</v>
      </c>
      <c r="O123" s="21">
        <f>VLOOKUP(C123,Sheet2!A:N,14,0)</f>
        <v>44</v>
      </c>
    </row>
    <row r="124" spans="1:15" x14ac:dyDescent="0.25">
      <c r="A124" s="19" t="s">
        <v>526</v>
      </c>
      <c r="B124" s="18" t="str">
        <f t="shared" si="1"/>
        <v>دلتا للطباعة والتغليف</v>
      </c>
      <c r="C124" s="18" t="str">
        <f>VLOOKUP(A124,Sheet1!C:F,2,0)</f>
        <v>دلتا للطباعة والتغليف</v>
      </c>
      <c r="D124" s="18" t="s">
        <v>46</v>
      </c>
      <c r="E124" s="18">
        <f>VLOOKUP(C124,Sheet2!A:N,4,0)</f>
        <v>117.16</v>
      </c>
      <c r="F124" s="18">
        <f>VLOOKUP(C124,Sheet2!A:N,5,0)</f>
        <v>117.16</v>
      </c>
      <c r="G124" s="18">
        <f>VLOOKUP(C124,Sheet2!A:N,6,0)</f>
        <v>116.3</v>
      </c>
      <c r="H124" s="18">
        <f>VLOOKUP(C124,Sheet2!A:N,7,0)</f>
        <v>-0.73</v>
      </c>
      <c r="I124" s="18">
        <f>VLOOKUP(C124,Sheet2!A:N,8,0)</f>
        <v>116.2</v>
      </c>
      <c r="J124" s="18">
        <f>VLOOKUP(C124,Sheet2!A:N,9,0)</f>
        <v>118.69</v>
      </c>
      <c r="K124" s="18">
        <f>VLOOKUP(C124,Sheet2!A:N,10,0)</f>
        <v>116.2</v>
      </c>
      <c r="L124" s="20">
        <f>VLOOKUP(C124,Sheet2!A:N,11,0)</f>
        <v>972815.02</v>
      </c>
      <c r="M124" s="21">
        <f>VLOOKUP(C124,Sheet2!A:N,12,0)</f>
        <v>8316</v>
      </c>
      <c r="N124" s="18">
        <f>VLOOKUP(C124,Sheet2!A:N,13,0)</f>
        <v>122</v>
      </c>
      <c r="O124" s="21">
        <f>VLOOKUP(C124,Sheet2!A:N,14,0)</f>
        <v>651</v>
      </c>
    </row>
    <row r="125" spans="1:15" x14ac:dyDescent="0.25">
      <c r="A125" s="19" t="s">
        <v>527</v>
      </c>
      <c r="B125" s="18" t="str">
        <f t="shared" si="1"/>
        <v>اسباير كابيتال القابضة للاستثمارات المالية</v>
      </c>
      <c r="C125" s="18" t="str">
        <f>VLOOKUP(A125,Sheet1!C:F,2,0)</f>
        <v>اسباير كابيتال القابضة للاستثمارات المالية</v>
      </c>
      <c r="D125" s="18" t="s">
        <v>44</v>
      </c>
      <c r="E125" s="18">
        <f>VLOOKUP(C125,Sheet2!A:N,4,0)</f>
        <v>0.313</v>
      </c>
      <c r="F125" s="18">
        <f>VLOOKUP(C125,Sheet2!A:N,5,0)</f>
        <v>0.313</v>
      </c>
      <c r="G125" s="18">
        <f>VLOOKUP(C125,Sheet2!A:N,6,0)</f>
        <v>0.307</v>
      </c>
      <c r="H125" s="18">
        <f>VLOOKUP(C125,Sheet2!A:N,7,0)</f>
        <v>-1.92</v>
      </c>
      <c r="I125" s="18">
        <f>VLOOKUP(C125,Sheet2!A:N,8,0)</f>
        <v>0.307</v>
      </c>
      <c r="J125" s="18">
        <f>VLOOKUP(C125,Sheet2!A:N,9,0)</f>
        <v>0.316</v>
      </c>
      <c r="K125" s="18">
        <f>VLOOKUP(C125,Sheet2!A:N,10,0)</f>
        <v>0.30499999999999999</v>
      </c>
      <c r="L125" s="20">
        <f>VLOOKUP(C125,Sheet2!A:N,11,0)</f>
        <v>27393871.34</v>
      </c>
      <c r="M125" s="21">
        <f>VLOOKUP(C125,Sheet2!A:N,12,0)</f>
        <v>88645331</v>
      </c>
      <c r="N125" s="18">
        <f>VLOOKUP(C125,Sheet2!A:N,13,0)</f>
        <v>985</v>
      </c>
      <c r="O125" s="21">
        <f>VLOOKUP(C125,Sheet2!A:N,14,0)</f>
        <v>614</v>
      </c>
    </row>
    <row r="126" spans="1:15" x14ac:dyDescent="0.25">
      <c r="A126" s="19" t="s">
        <v>389</v>
      </c>
      <c r="B126" s="18" t="str">
        <f t="shared" si="1"/>
        <v>دايس للملابس الجاهزة</v>
      </c>
      <c r="C126" s="18" t="str">
        <f>VLOOKUP(A126,Sheet1!C:F,2,0)</f>
        <v>دايس للملابس الجاهزة</v>
      </c>
      <c r="D126" s="18" t="s">
        <v>88</v>
      </c>
      <c r="E126" s="18">
        <f>VLOOKUP(C126,Sheet2!A:N,4,0)</f>
        <v>1.8</v>
      </c>
      <c r="F126" s="18">
        <f>VLOOKUP(C126,Sheet2!A:N,5,0)</f>
        <v>1.8</v>
      </c>
      <c r="G126" s="18">
        <f>VLOOKUP(C126,Sheet2!A:N,6,0)</f>
        <v>1.86</v>
      </c>
      <c r="H126" s="18">
        <f>VLOOKUP(C126,Sheet2!A:N,7,0)</f>
        <v>3.33</v>
      </c>
      <c r="I126" s="18">
        <f>VLOOKUP(C126,Sheet2!A:N,8,0)</f>
        <v>1.86</v>
      </c>
      <c r="J126" s="18">
        <f>VLOOKUP(C126,Sheet2!A:N,9,0)</f>
        <v>1.86</v>
      </c>
      <c r="K126" s="18">
        <f>VLOOKUP(C126,Sheet2!A:N,10,0)</f>
        <v>1.81</v>
      </c>
      <c r="L126" s="20">
        <f>VLOOKUP(C126,Sheet2!A:N,11,0)</f>
        <v>64761540.079999998</v>
      </c>
      <c r="M126" s="21">
        <f>VLOOKUP(C126,Sheet2!A:N,12,0)</f>
        <v>35152897</v>
      </c>
      <c r="N126" s="18">
        <f>VLOOKUP(C126,Sheet2!A:N,13,0)</f>
        <v>1649</v>
      </c>
      <c r="O126" s="21">
        <f>VLOOKUP(C126,Sheet2!A:N,14,0)</f>
        <v>4985</v>
      </c>
    </row>
    <row r="127" spans="1:15" x14ac:dyDescent="0.25">
      <c r="A127" s="19" t="s">
        <v>350</v>
      </c>
      <c r="B127" s="18" t="str">
        <f t="shared" si="1"/>
        <v>الاسكندرية للزيوت المعدنية</v>
      </c>
      <c r="C127" s="18" t="str">
        <f>VLOOKUP(A127,Sheet1!C:F,2,0)</f>
        <v>الاسكندرية للزيوت المعدنية</v>
      </c>
      <c r="D127" s="18" t="s">
        <v>167</v>
      </c>
      <c r="E127" s="18">
        <f>VLOOKUP(C127,Sheet2!A:N,4,0)</f>
        <v>7.81</v>
      </c>
      <c r="F127" s="18">
        <f>VLOOKUP(C127,Sheet2!A:N,5,0)</f>
        <v>7.81</v>
      </c>
      <c r="G127" s="18">
        <f>VLOOKUP(C127,Sheet2!A:N,6,0)</f>
        <v>7.85</v>
      </c>
      <c r="H127" s="18">
        <f>VLOOKUP(C127,Sheet2!A:N,7,0)</f>
        <v>0.51</v>
      </c>
      <c r="I127" s="18">
        <f>VLOOKUP(C127,Sheet2!A:N,8,0)</f>
        <v>7.85</v>
      </c>
      <c r="J127" s="18">
        <f>VLOOKUP(C127,Sheet2!A:N,9,0)</f>
        <v>7.97</v>
      </c>
      <c r="K127" s="18">
        <f>VLOOKUP(C127,Sheet2!A:N,10,0)</f>
        <v>7.81</v>
      </c>
      <c r="L127" s="20">
        <f>VLOOKUP(C127,Sheet2!A:N,11,0)</f>
        <v>31812787.629999999</v>
      </c>
      <c r="M127" s="21">
        <f>VLOOKUP(C127,Sheet2!A:N,12,0)</f>
        <v>4042362</v>
      </c>
      <c r="N127" s="18">
        <f>VLOOKUP(C127,Sheet2!A:N,13,0)</f>
        <v>1177</v>
      </c>
      <c r="O127" s="21">
        <f>VLOOKUP(C127,Sheet2!A:N,14,0)</f>
        <v>10138</v>
      </c>
    </row>
    <row r="128" spans="1:15" x14ac:dyDescent="0.25">
      <c r="A128" s="19" t="s">
        <v>467</v>
      </c>
      <c r="B128" s="18" t="str">
        <f t="shared" si="1"/>
        <v>اكتوبر فارما</v>
      </c>
      <c r="C128" s="18" t="str">
        <f>VLOOKUP(A128,Sheet1!C:F,2,0)</f>
        <v>اكتوبر فارما</v>
      </c>
      <c r="D128" s="18" t="s">
        <v>51</v>
      </c>
      <c r="E128" s="18">
        <f>VLOOKUP(C128,Sheet2!A:N,4,0)</f>
        <v>344.59</v>
      </c>
      <c r="F128" s="18">
        <f>VLOOKUP(C128,Sheet2!A:N,5,0)</f>
        <v>344.59</v>
      </c>
      <c r="G128" s="18">
        <f>VLOOKUP(C128,Sheet2!A:N,6,0)</f>
        <v>344</v>
      </c>
      <c r="H128" s="18">
        <f>VLOOKUP(C128,Sheet2!A:N,7,0)</f>
        <v>-0.17</v>
      </c>
      <c r="I128" s="18">
        <f>VLOOKUP(C128,Sheet2!A:N,8,0)</f>
        <v>344</v>
      </c>
      <c r="J128" s="18">
        <f>VLOOKUP(C128,Sheet2!A:N,9,0)</f>
        <v>348.98</v>
      </c>
      <c r="K128" s="18">
        <f>VLOOKUP(C128,Sheet2!A:N,10,0)</f>
        <v>342.7</v>
      </c>
      <c r="L128" s="20">
        <f>VLOOKUP(C128,Sheet2!A:N,11,0)</f>
        <v>2273658.09</v>
      </c>
      <c r="M128" s="21">
        <f>VLOOKUP(C128,Sheet2!A:N,12,0)</f>
        <v>6601</v>
      </c>
      <c r="N128" s="18">
        <f>VLOOKUP(C128,Sheet2!A:N,13,0)</f>
        <v>129</v>
      </c>
      <c r="O128" s="21">
        <f>VLOOKUP(C128,Sheet2!A:N,14,0)</f>
        <v>4128</v>
      </c>
    </row>
    <row r="129" spans="1:15" x14ac:dyDescent="0.25">
      <c r="A129" s="19" t="s">
        <v>468</v>
      </c>
      <c r="B129" s="18" t="str">
        <f t="shared" si="1"/>
        <v>مطاحن شرق الدلتا</v>
      </c>
      <c r="C129" s="18" t="str">
        <f>VLOOKUP(A129,Sheet1!C:F,2,0)</f>
        <v>مطاحن شرق الدلتا</v>
      </c>
      <c r="D129" s="18" t="s">
        <v>48</v>
      </c>
      <c r="E129" s="18">
        <f>VLOOKUP(C129,Sheet2!A:N,4,0)</f>
        <v>334.03</v>
      </c>
      <c r="F129" s="18">
        <f>VLOOKUP(C129,Sheet2!A:N,5,0)</f>
        <v>334.03</v>
      </c>
      <c r="G129" s="18">
        <f>VLOOKUP(C129,Sheet2!A:N,6,0)</f>
        <v>331.68</v>
      </c>
      <c r="H129" s="18">
        <f>VLOOKUP(C129,Sheet2!A:N,7,0)</f>
        <v>-0.7</v>
      </c>
      <c r="I129" s="18">
        <f>VLOOKUP(C129,Sheet2!A:N,8,0)</f>
        <v>337.7</v>
      </c>
      <c r="J129" s="18">
        <f>VLOOKUP(C129,Sheet2!A:N,9,0)</f>
        <v>342</v>
      </c>
      <c r="K129" s="18">
        <f>VLOOKUP(C129,Sheet2!A:N,10,0)</f>
        <v>331</v>
      </c>
      <c r="L129" s="20">
        <f>VLOOKUP(C129,Sheet2!A:N,11,0)</f>
        <v>1270632.8999999999</v>
      </c>
      <c r="M129" s="21">
        <f>VLOOKUP(C129,Sheet2!A:N,12,0)</f>
        <v>3785</v>
      </c>
      <c r="N129" s="18">
        <f>VLOOKUP(C129,Sheet2!A:N,13,0)</f>
        <v>95</v>
      </c>
      <c r="O129" s="21">
        <f>VLOOKUP(C129,Sheet2!A:N,14,0)</f>
        <v>1990</v>
      </c>
    </row>
    <row r="130" spans="1:15" x14ac:dyDescent="0.25">
      <c r="A130" s="19" t="s">
        <v>530</v>
      </c>
      <c r="B130" s="18" t="str">
        <f t="shared" si="1"/>
        <v>مطاحن مصر العليا</v>
      </c>
      <c r="C130" s="18" t="str">
        <f>VLOOKUP(A130,Sheet1!C:F,2,0)</f>
        <v>مطاحن مصر العليا</v>
      </c>
      <c r="D130" s="18" t="s">
        <v>48</v>
      </c>
      <c r="E130" s="18">
        <f>VLOOKUP(C130,Sheet2!A:N,4,0)</f>
        <v>472.48</v>
      </c>
      <c r="F130" s="18">
        <f>VLOOKUP(C130,Sheet2!A:N,5,0)</f>
        <v>472.48</v>
      </c>
      <c r="G130" s="18">
        <f>VLOOKUP(C130,Sheet2!A:N,6,0)</f>
        <v>472.2</v>
      </c>
      <c r="H130" s="18">
        <f>VLOOKUP(C130,Sheet2!A:N,7,0)</f>
        <v>-0.06</v>
      </c>
      <c r="I130" s="18">
        <f>VLOOKUP(C130,Sheet2!A:N,8,0)</f>
        <v>473.5</v>
      </c>
      <c r="J130" s="18">
        <f>VLOOKUP(C130,Sheet2!A:N,9,0)</f>
        <v>474.87</v>
      </c>
      <c r="K130" s="18">
        <f>VLOOKUP(C130,Sheet2!A:N,10,0)</f>
        <v>468.11</v>
      </c>
      <c r="L130" s="20">
        <f>VLOOKUP(C130,Sheet2!A:N,11,0)</f>
        <v>473098.35</v>
      </c>
      <c r="M130" s="21">
        <f>VLOOKUP(C130,Sheet2!A:N,12,0)</f>
        <v>1003</v>
      </c>
      <c r="N130" s="18">
        <f>VLOOKUP(C130,Sheet2!A:N,13,0)</f>
        <v>30</v>
      </c>
      <c r="O130" s="21">
        <f>VLOOKUP(C130,Sheet2!A:N,14,0)</f>
        <v>3305</v>
      </c>
    </row>
    <row r="131" spans="1:15" x14ac:dyDescent="0.25">
      <c r="A131" s="19" t="s">
        <v>400</v>
      </c>
      <c r="B131" s="18" t="str">
        <f t="shared" ref="B131:B194" si="2">C131</f>
        <v>العامة للصوامع والتخزين</v>
      </c>
      <c r="C131" s="18" t="str">
        <f>VLOOKUP(A131,Sheet1!C:F,2,0)</f>
        <v>العامة للصوامع والتخزين</v>
      </c>
      <c r="D131" s="18" t="s">
        <v>48</v>
      </c>
      <c r="E131" s="18">
        <f>VLOOKUP(C131,Sheet2!A:N,4,0)</f>
        <v>248.31</v>
      </c>
      <c r="F131" s="18">
        <f>VLOOKUP(C131,Sheet2!A:N,5,0)</f>
        <v>248.31</v>
      </c>
      <c r="G131" s="18">
        <f>VLOOKUP(C131,Sheet2!A:N,6,0)</f>
        <v>247.54</v>
      </c>
      <c r="H131" s="18">
        <f>VLOOKUP(C131,Sheet2!A:N,7,0)</f>
        <v>-0.31</v>
      </c>
      <c r="I131" s="18">
        <f>VLOOKUP(C131,Sheet2!A:N,8,0)</f>
        <v>246.6</v>
      </c>
      <c r="J131" s="18">
        <f>VLOOKUP(C131,Sheet2!A:N,9,0)</f>
        <v>249</v>
      </c>
      <c r="K131" s="18">
        <f>VLOOKUP(C131,Sheet2!A:N,10,0)</f>
        <v>246.1</v>
      </c>
      <c r="L131" s="20">
        <f>VLOOKUP(C131,Sheet2!A:N,11,0)</f>
        <v>1499170.82</v>
      </c>
      <c r="M131" s="21">
        <f>VLOOKUP(C131,Sheet2!A:N,12,0)</f>
        <v>6058</v>
      </c>
      <c r="N131" s="18">
        <f>VLOOKUP(C131,Sheet2!A:N,13,0)</f>
        <v>88</v>
      </c>
      <c r="O131" s="21">
        <f>VLOOKUP(C131,Sheet2!A:N,14,0)</f>
        <v>4332</v>
      </c>
    </row>
    <row r="132" spans="1:15" x14ac:dyDescent="0.25">
      <c r="A132" s="19" t="s">
        <v>469</v>
      </c>
      <c r="B132" s="18" t="str">
        <f t="shared" si="2"/>
        <v>مطاحن ومخابز جنوب القاهرة والجيزة</v>
      </c>
      <c r="C132" s="18" t="str">
        <f>VLOOKUP(A132,Sheet1!C:F,2,0)</f>
        <v>مطاحن ومخابز جنوب القاهرة والجيزة</v>
      </c>
      <c r="D132" s="18" t="s">
        <v>48</v>
      </c>
      <c r="E132" s="18">
        <f>VLOOKUP(C132,Sheet2!A:N,4,0)</f>
        <v>253.42</v>
      </c>
      <c r="F132" s="18">
        <f>VLOOKUP(C132,Sheet2!A:N,5,0)</f>
        <v>253.42</v>
      </c>
      <c r="G132" s="18">
        <f>VLOOKUP(C132,Sheet2!A:N,6,0)</f>
        <v>252.04</v>
      </c>
      <c r="H132" s="18">
        <f>VLOOKUP(C132,Sheet2!A:N,7,0)</f>
        <v>-0.54</v>
      </c>
      <c r="I132" s="18">
        <f>VLOOKUP(C132,Sheet2!A:N,8,0)</f>
        <v>252.04</v>
      </c>
      <c r="J132" s="18">
        <f>VLOOKUP(C132,Sheet2!A:N,9,0)</f>
        <v>258</v>
      </c>
      <c r="K132" s="18">
        <f>VLOOKUP(C132,Sheet2!A:N,10,0)</f>
        <v>251.58</v>
      </c>
      <c r="L132" s="20">
        <f>VLOOKUP(C132,Sheet2!A:N,11,0)</f>
        <v>2070150.27</v>
      </c>
      <c r="M132" s="21">
        <f>VLOOKUP(C132,Sheet2!A:N,12,0)</f>
        <v>8165</v>
      </c>
      <c r="N132" s="18">
        <f>VLOOKUP(C132,Sheet2!A:N,13,0)</f>
        <v>139</v>
      </c>
      <c r="O132" s="21">
        <f>VLOOKUP(C132,Sheet2!A:N,14,0)</f>
        <v>1512</v>
      </c>
    </row>
    <row r="133" spans="1:15" x14ac:dyDescent="0.25">
      <c r="A133" s="19" t="s">
        <v>532</v>
      </c>
      <c r="B133" s="18" t="str">
        <f t="shared" si="2"/>
        <v>القاهرة للزيوت والصابون</v>
      </c>
      <c r="C133" s="18" t="str">
        <f>VLOOKUP(A133,Sheet1!C:F,2,0)</f>
        <v>القاهرة للزيوت والصابون</v>
      </c>
      <c r="D133" s="18" t="s">
        <v>48</v>
      </c>
      <c r="E133" s="18">
        <f>VLOOKUP(C133,Sheet2!A:N,4,0)</f>
        <v>1.58</v>
      </c>
      <c r="F133" s="18">
        <f>VLOOKUP(C133,Sheet2!A:N,5,0)</f>
        <v>1.58</v>
      </c>
      <c r="G133" s="18">
        <f>VLOOKUP(C133,Sheet2!A:N,6,0)</f>
        <v>1.62</v>
      </c>
      <c r="H133" s="18">
        <f>VLOOKUP(C133,Sheet2!A:N,7,0)</f>
        <v>2.5299999999999998</v>
      </c>
      <c r="I133" s="18">
        <f>VLOOKUP(C133,Sheet2!A:N,8,0)</f>
        <v>1.62</v>
      </c>
      <c r="J133" s="18">
        <f>VLOOKUP(C133,Sheet2!A:N,9,0)</f>
        <v>1.66</v>
      </c>
      <c r="K133" s="18">
        <f>VLOOKUP(C133,Sheet2!A:N,10,0)</f>
        <v>1.58</v>
      </c>
      <c r="L133" s="20">
        <f>VLOOKUP(C133,Sheet2!A:N,11,0)</f>
        <v>90209926.430000007</v>
      </c>
      <c r="M133" s="21">
        <f>VLOOKUP(C133,Sheet2!A:N,12,0)</f>
        <v>55538133</v>
      </c>
      <c r="N133" s="18">
        <f>VLOOKUP(C133,Sheet2!A:N,13,0)</f>
        <v>1621</v>
      </c>
      <c r="O133" s="21">
        <f>VLOOKUP(C133,Sheet2!A:N,14,0)</f>
        <v>1011</v>
      </c>
    </row>
    <row r="134" spans="1:15" x14ac:dyDescent="0.25">
      <c r="A134" s="19" t="s">
        <v>383</v>
      </c>
      <c r="B134" s="18" t="str">
        <f t="shared" si="2"/>
        <v>الاسكندرية للغزل والنسيج (سبينالكس)</v>
      </c>
      <c r="C134" s="18" t="str">
        <f>VLOOKUP(A134,Sheet1!C:F,2,0)</f>
        <v>الاسكندرية للغزل والنسيج (سبينالكس)</v>
      </c>
      <c r="D134" s="18" t="s">
        <v>88</v>
      </c>
      <c r="E134" s="18">
        <f>VLOOKUP(C134,Sheet2!A:N,4,0)</f>
        <v>14.03</v>
      </c>
      <c r="F134" s="18">
        <f>VLOOKUP(C134,Sheet2!A:N,5,0)</f>
        <v>14.03</v>
      </c>
      <c r="G134" s="18">
        <f>VLOOKUP(C134,Sheet2!A:N,6,0)</f>
        <v>13.98</v>
      </c>
      <c r="H134" s="18">
        <f>VLOOKUP(C134,Sheet2!A:N,7,0)</f>
        <v>-0.36</v>
      </c>
      <c r="I134" s="18">
        <f>VLOOKUP(C134,Sheet2!A:N,8,0)</f>
        <v>14</v>
      </c>
      <c r="J134" s="18">
        <f>VLOOKUP(C134,Sheet2!A:N,9,0)</f>
        <v>14.12</v>
      </c>
      <c r="K134" s="18">
        <f>VLOOKUP(C134,Sheet2!A:N,10,0)</f>
        <v>13.3</v>
      </c>
      <c r="L134" s="20">
        <f>VLOOKUP(C134,Sheet2!A:N,11,0)</f>
        <v>1392024.53</v>
      </c>
      <c r="M134" s="21">
        <f>VLOOKUP(C134,Sheet2!A:N,12,0)</f>
        <v>100102</v>
      </c>
      <c r="N134" s="18">
        <f>VLOOKUP(C134,Sheet2!A:N,13,0)</f>
        <v>64</v>
      </c>
      <c r="O134" s="21">
        <f>VLOOKUP(C134,Sheet2!A:N,14,0)</f>
        <v>5043</v>
      </c>
    </row>
    <row r="135" spans="1:15" x14ac:dyDescent="0.25">
      <c r="A135" s="19" t="s">
        <v>533</v>
      </c>
      <c r="B135" s="18" t="str">
        <f t="shared" si="2"/>
        <v>جولدن تكس للاصواف</v>
      </c>
      <c r="C135" s="18" t="str">
        <f>VLOOKUP(A135,Sheet1!C:F,2,0)</f>
        <v>جولدن تكس للاصواف</v>
      </c>
      <c r="D135" s="18" t="s">
        <v>88</v>
      </c>
      <c r="E135" s="18">
        <f>VLOOKUP(C135,Sheet2!A:N,4,0)</f>
        <v>46.34</v>
      </c>
      <c r="F135" s="18">
        <f>VLOOKUP(C135,Sheet2!A:N,5,0)</f>
        <v>46.34</v>
      </c>
      <c r="G135" s="18">
        <f>VLOOKUP(C135,Sheet2!A:N,6,0)</f>
        <v>48.39</v>
      </c>
      <c r="H135" s="18">
        <f>VLOOKUP(C135,Sheet2!A:N,7,0)</f>
        <v>4.42</v>
      </c>
      <c r="I135" s="18">
        <f>VLOOKUP(C135,Sheet2!A:N,8,0)</f>
        <v>48.39</v>
      </c>
      <c r="J135" s="18">
        <f>VLOOKUP(C135,Sheet2!A:N,9,0)</f>
        <v>52.99</v>
      </c>
      <c r="K135" s="18">
        <f>VLOOKUP(C135,Sheet2!A:N,10,0)</f>
        <v>46.33</v>
      </c>
      <c r="L135" s="20">
        <f>VLOOKUP(C135,Sheet2!A:N,11,0)</f>
        <v>24318049.48</v>
      </c>
      <c r="M135" s="21">
        <f>VLOOKUP(C135,Sheet2!A:N,12,0)</f>
        <v>488893</v>
      </c>
      <c r="N135" s="18">
        <f>VLOOKUP(C135,Sheet2!A:N,13,0)</f>
        <v>890</v>
      </c>
      <c r="O135" s="21">
        <f>VLOOKUP(C135,Sheet2!A:N,14,0)</f>
        <v>691</v>
      </c>
    </row>
    <row r="136" spans="1:15" x14ac:dyDescent="0.25">
      <c r="A136" s="19" t="s">
        <v>409</v>
      </c>
      <c r="B136" s="18" t="str">
        <f t="shared" si="2"/>
        <v>النصر للملابس والمنسوجات - كابو</v>
      </c>
      <c r="C136" s="18" t="str">
        <f>VLOOKUP(A136,Sheet1!C:F,2,0)</f>
        <v>النصر للملابس والمنسوجات - كابو</v>
      </c>
      <c r="D136" s="18" t="s">
        <v>88</v>
      </c>
      <c r="E136" s="18">
        <f>VLOOKUP(C136,Sheet2!A:N,4,0)</f>
        <v>6.24</v>
      </c>
      <c r="F136" s="18">
        <f>VLOOKUP(C136,Sheet2!A:N,5,0)</f>
        <v>6.24</v>
      </c>
      <c r="G136" s="18">
        <f>VLOOKUP(C136,Sheet2!A:N,6,0)</f>
        <v>6.23</v>
      </c>
      <c r="H136" s="18">
        <f>VLOOKUP(C136,Sheet2!A:N,7,0)</f>
        <v>-0.16</v>
      </c>
      <c r="I136" s="18">
        <f>VLOOKUP(C136,Sheet2!A:N,8,0)</f>
        <v>6.18</v>
      </c>
      <c r="J136" s="18">
        <f>VLOOKUP(C136,Sheet2!A:N,9,0)</f>
        <v>6.24</v>
      </c>
      <c r="K136" s="18">
        <f>VLOOKUP(C136,Sheet2!A:N,10,0)</f>
        <v>6.15</v>
      </c>
      <c r="L136" s="20">
        <f>VLOOKUP(C136,Sheet2!A:N,11,0)</f>
        <v>6555882.9199999999</v>
      </c>
      <c r="M136" s="21">
        <f>VLOOKUP(C136,Sheet2!A:N,12,0)</f>
        <v>1058692</v>
      </c>
      <c r="N136" s="18">
        <f>VLOOKUP(C136,Sheet2!A:N,13,0)</f>
        <v>301</v>
      </c>
      <c r="O136" s="21">
        <f>VLOOKUP(C136,Sheet2!A:N,14,0)</f>
        <v>3518</v>
      </c>
    </row>
    <row r="137" spans="1:15" x14ac:dyDescent="0.25">
      <c r="A137" s="19" t="s">
        <v>535</v>
      </c>
      <c r="B137" s="18" t="str">
        <f t="shared" si="2"/>
        <v>المصريين للاسكان والتنمية والتعمير</v>
      </c>
      <c r="C137" s="18" t="str">
        <f>VLOOKUP(A137,Sheet1!C:F,2,0)</f>
        <v>المصريين للاسكان والتنمية والتعمير</v>
      </c>
      <c r="D137" s="18" t="s">
        <v>40</v>
      </c>
      <c r="E137" s="18">
        <f>VLOOKUP(C137,Sheet2!A:N,4,0)</f>
        <v>2.7</v>
      </c>
      <c r="F137" s="18">
        <f>VLOOKUP(C137,Sheet2!A:N,5,0)</f>
        <v>2.7</v>
      </c>
      <c r="G137" s="18">
        <f>VLOOKUP(C137,Sheet2!A:N,6,0)</f>
        <v>2.69</v>
      </c>
      <c r="H137" s="18">
        <f>VLOOKUP(C137,Sheet2!A:N,7,0)</f>
        <v>-0.37</v>
      </c>
      <c r="I137" s="18">
        <f>VLOOKUP(C137,Sheet2!A:N,8,0)</f>
        <v>2.69</v>
      </c>
      <c r="J137" s="18">
        <f>VLOOKUP(C137,Sheet2!A:N,9,0)</f>
        <v>2.74</v>
      </c>
      <c r="K137" s="18">
        <f>VLOOKUP(C137,Sheet2!A:N,10,0)</f>
        <v>2.69</v>
      </c>
      <c r="L137" s="20">
        <f>VLOOKUP(C137,Sheet2!A:N,11,0)</f>
        <v>33156783.91</v>
      </c>
      <c r="M137" s="21">
        <f>VLOOKUP(C137,Sheet2!A:N,12,0)</f>
        <v>12229061</v>
      </c>
      <c r="N137" s="18">
        <f>VLOOKUP(C137,Sheet2!A:N,13,0)</f>
        <v>767</v>
      </c>
      <c r="O137" s="21">
        <f>VLOOKUP(C137,Sheet2!A:N,14,0)</f>
        <v>1808</v>
      </c>
    </row>
    <row r="138" spans="1:15" x14ac:dyDescent="0.25">
      <c r="A138" s="19" t="s">
        <v>470</v>
      </c>
      <c r="B138" s="18" t="str">
        <f t="shared" si="2"/>
        <v>مينا للاستثمار السياحي والعقاري</v>
      </c>
      <c r="C138" s="18" t="str">
        <f>VLOOKUP(A138,Sheet1!C:F,2,0)</f>
        <v>مينا للاستثمار السياحي والعقاري</v>
      </c>
      <c r="D138" s="18" t="s">
        <v>40</v>
      </c>
      <c r="E138" s="18">
        <f>VLOOKUP(C138,Sheet2!A:N,4,0)</f>
        <v>6.73</v>
      </c>
      <c r="F138" s="18">
        <f>VLOOKUP(C138,Sheet2!A:N,5,0)</f>
        <v>6.73</v>
      </c>
      <c r="G138" s="18">
        <f>VLOOKUP(C138,Sheet2!A:N,6,0)</f>
        <v>6.7</v>
      </c>
      <c r="H138" s="18">
        <f>VLOOKUP(C138,Sheet2!A:N,7,0)</f>
        <v>-0.45</v>
      </c>
      <c r="I138" s="18">
        <f>VLOOKUP(C138,Sheet2!A:N,8,0)</f>
        <v>6.7</v>
      </c>
      <c r="J138" s="18">
        <f>VLOOKUP(C138,Sheet2!A:N,9,0)</f>
        <v>6.81</v>
      </c>
      <c r="K138" s="18">
        <f>VLOOKUP(C138,Sheet2!A:N,10,0)</f>
        <v>6.66</v>
      </c>
      <c r="L138" s="20">
        <f>VLOOKUP(C138,Sheet2!A:N,11,0)</f>
        <v>1884489.37</v>
      </c>
      <c r="M138" s="21">
        <f>VLOOKUP(C138,Sheet2!A:N,12,0)</f>
        <v>279631</v>
      </c>
      <c r="N138" s="18">
        <f>VLOOKUP(C138,Sheet2!A:N,13,0)</f>
        <v>128</v>
      </c>
      <c r="O138" s="21">
        <f>VLOOKUP(C138,Sheet2!A:N,14,0)</f>
        <v>1621</v>
      </c>
    </row>
    <row r="139" spans="1:15" x14ac:dyDescent="0.25">
      <c r="A139" s="19" t="s">
        <v>537</v>
      </c>
      <c r="B139" s="18" t="str">
        <f t="shared" si="2"/>
        <v>مصر للزيوت و الصابون</v>
      </c>
      <c r="C139" s="18" t="str">
        <f>VLOOKUP(A139,Sheet1!C:F,2,0)</f>
        <v>مصر للزيوت و الصابون</v>
      </c>
      <c r="D139" s="18" t="s">
        <v>48</v>
      </c>
      <c r="E139" s="18">
        <f>VLOOKUP(C139,Sheet2!A:N,4,0)</f>
        <v>280.61</v>
      </c>
      <c r="F139" s="18">
        <f>VLOOKUP(C139,Sheet2!A:N,5,0)</f>
        <v>280.61</v>
      </c>
      <c r="G139" s="18">
        <f>VLOOKUP(C139,Sheet2!A:N,6,0)</f>
        <v>285.82</v>
      </c>
      <c r="H139" s="18">
        <f>VLOOKUP(C139,Sheet2!A:N,7,0)</f>
        <v>1.86</v>
      </c>
      <c r="I139" s="18">
        <f>VLOOKUP(C139,Sheet2!A:N,8,0)</f>
        <v>285.82</v>
      </c>
      <c r="J139" s="18">
        <f>VLOOKUP(C139,Sheet2!A:N,9,0)</f>
        <v>305</v>
      </c>
      <c r="K139" s="18">
        <f>VLOOKUP(C139,Sheet2!A:N,10,0)</f>
        <v>280</v>
      </c>
      <c r="L139" s="20">
        <f>VLOOKUP(C139,Sheet2!A:N,11,0)</f>
        <v>29535896.210000001</v>
      </c>
      <c r="M139" s="21">
        <f>VLOOKUP(C139,Sheet2!A:N,12,0)</f>
        <v>101917</v>
      </c>
      <c r="N139" s="18">
        <f>VLOOKUP(C139,Sheet2!A:N,13,0)</f>
        <v>1145</v>
      </c>
      <c r="O139" s="21">
        <f>VLOOKUP(C139,Sheet2!A:N,14,0)</f>
        <v>1715</v>
      </c>
    </row>
    <row r="140" spans="1:15" x14ac:dyDescent="0.25">
      <c r="A140" s="19" t="s">
        <v>471</v>
      </c>
      <c r="B140" s="18" t="str">
        <f t="shared" si="2"/>
        <v>كفر الزيات للمبيدات والكيماويات</v>
      </c>
      <c r="C140" s="18" t="str">
        <f>VLOOKUP(A140,Sheet1!C:F,2,0)</f>
        <v>كفر الزيات للمبيدات والكيماويات</v>
      </c>
      <c r="D140" s="18" t="s">
        <v>61</v>
      </c>
      <c r="E140" s="18">
        <f>VLOOKUP(C140,Sheet2!A:N,4,0)</f>
        <v>10.54</v>
      </c>
      <c r="F140" s="18">
        <f>VLOOKUP(C140,Sheet2!A:N,5,0)</f>
        <v>10.54</v>
      </c>
      <c r="G140" s="18">
        <f>VLOOKUP(C140,Sheet2!A:N,6,0)</f>
        <v>10.58</v>
      </c>
      <c r="H140" s="18">
        <f>VLOOKUP(C140,Sheet2!A:N,7,0)</f>
        <v>0.38</v>
      </c>
      <c r="I140" s="18">
        <f>VLOOKUP(C140,Sheet2!A:N,8,0)</f>
        <v>10.58</v>
      </c>
      <c r="J140" s="18">
        <f>VLOOKUP(C140,Sheet2!A:N,9,0)</f>
        <v>10.63</v>
      </c>
      <c r="K140" s="18">
        <f>VLOOKUP(C140,Sheet2!A:N,10,0)</f>
        <v>10.54</v>
      </c>
      <c r="L140" s="20">
        <f>VLOOKUP(C140,Sheet2!A:N,11,0)</f>
        <v>1805195.62</v>
      </c>
      <c r="M140" s="21">
        <f>VLOOKUP(C140,Sheet2!A:N,12,0)</f>
        <v>170599</v>
      </c>
      <c r="N140" s="18">
        <f>VLOOKUP(C140,Sheet2!A:N,13,0)</f>
        <v>166</v>
      </c>
      <c r="O140" s="21">
        <f>VLOOKUP(C140,Sheet2!A:N,14,0)</f>
        <v>2540</v>
      </c>
    </row>
    <row r="141" spans="1:15" x14ac:dyDescent="0.25">
      <c r="A141" s="19" t="s">
        <v>538</v>
      </c>
      <c r="B141" s="18" t="str">
        <f t="shared" si="2"/>
        <v>العامة لمنتجات الخزف والصيني</v>
      </c>
      <c r="C141" s="18" t="str">
        <f>VLOOKUP(A141,Sheet1!C:F,2,0)</f>
        <v>العامة لمنتجات الخزف والصيني</v>
      </c>
      <c r="D141" s="18" t="s">
        <v>93</v>
      </c>
      <c r="E141" s="18">
        <f>VLOOKUP(C141,Sheet2!A:N,4,0)</f>
        <v>24.5</v>
      </c>
      <c r="F141" s="18">
        <f>VLOOKUP(C141,Sheet2!A:N,5,0)</f>
        <v>24.5</v>
      </c>
      <c r="G141" s="18">
        <f>VLOOKUP(C141,Sheet2!A:N,6,0)</f>
        <v>24.5</v>
      </c>
      <c r="H141" s="18">
        <f>VLOOKUP(C141,Sheet2!A:N,7,0)</f>
        <v>0</v>
      </c>
      <c r="I141" s="18">
        <f>VLOOKUP(C141,Sheet2!A:N,8,0)</f>
        <v>24.5</v>
      </c>
      <c r="J141" s="18">
        <f>VLOOKUP(C141,Sheet2!A:N,9,0)</f>
        <v>25.48</v>
      </c>
      <c r="K141" s="18">
        <f>VLOOKUP(C141,Sheet2!A:N,10,0)</f>
        <v>24.5</v>
      </c>
      <c r="L141" s="20">
        <f>VLOOKUP(C141,Sheet2!A:N,11,0)</f>
        <v>23020427.140000001</v>
      </c>
      <c r="M141" s="21">
        <f>VLOOKUP(C141,Sheet2!A:N,12,0)</f>
        <v>923298</v>
      </c>
      <c r="N141" s="18">
        <f>VLOOKUP(C141,Sheet2!A:N,13,0)</f>
        <v>505</v>
      </c>
      <c r="O141" s="21">
        <f>VLOOKUP(C141,Sheet2!A:N,14,0)</f>
        <v>1234</v>
      </c>
    </row>
    <row r="142" spans="1:15" x14ac:dyDescent="0.25">
      <c r="A142" s="19" t="s">
        <v>539</v>
      </c>
      <c r="B142" s="18" t="str">
        <f t="shared" si="2"/>
        <v>العز للسيراميك و البورسلين - الجوهره</v>
      </c>
      <c r="C142" s="18" t="str">
        <f>VLOOKUP(A142,Sheet1!C:F,2,0)</f>
        <v>العز للسيراميك و البورسلين - الجوهره</v>
      </c>
      <c r="D142" s="18" t="s">
        <v>93</v>
      </c>
      <c r="E142" s="18">
        <f>VLOOKUP(C142,Sheet2!A:N,4,0)</f>
        <v>31.77</v>
      </c>
      <c r="F142" s="18">
        <f>VLOOKUP(C142,Sheet2!A:N,5,0)</f>
        <v>31.77</v>
      </c>
      <c r="G142" s="18">
        <f>VLOOKUP(C142,Sheet2!A:N,6,0)</f>
        <v>32.56</v>
      </c>
      <c r="H142" s="18">
        <f>VLOOKUP(C142,Sheet2!A:N,7,0)</f>
        <v>2.4900000000000002</v>
      </c>
      <c r="I142" s="18">
        <f>VLOOKUP(C142,Sheet2!A:N,8,0)</f>
        <v>32.56</v>
      </c>
      <c r="J142" s="18">
        <f>VLOOKUP(C142,Sheet2!A:N,9,0)</f>
        <v>32.619999999999997</v>
      </c>
      <c r="K142" s="18">
        <f>VLOOKUP(C142,Sheet2!A:N,10,0)</f>
        <v>31.3</v>
      </c>
      <c r="L142" s="20">
        <f>VLOOKUP(C142,Sheet2!A:N,11,0)</f>
        <v>8863962.1300000008</v>
      </c>
      <c r="M142" s="21">
        <f>VLOOKUP(C142,Sheet2!A:N,12,0)</f>
        <v>274400</v>
      </c>
      <c r="N142" s="18">
        <f>VLOOKUP(C142,Sheet2!A:N,13,0)</f>
        <v>297</v>
      </c>
      <c r="O142" s="21">
        <f>VLOOKUP(C142,Sheet2!A:N,14,0)</f>
        <v>1737</v>
      </c>
    </row>
    <row r="143" spans="1:15" x14ac:dyDescent="0.25">
      <c r="A143" s="19" t="s">
        <v>540</v>
      </c>
      <c r="B143" s="18" t="str">
        <f t="shared" si="2"/>
        <v>العربية للخزف - سيراميكا ريماس</v>
      </c>
      <c r="C143" s="18" t="str">
        <f>VLOOKUP(A143,Sheet1!C:F,2,0)</f>
        <v>العربية للخزف - سيراميكا ريماس</v>
      </c>
      <c r="D143" s="18" t="s">
        <v>93</v>
      </c>
      <c r="E143" s="18">
        <f>VLOOKUP(C143,Sheet2!A:N,4,0)</f>
        <v>1.18</v>
      </c>
      <c r="F143" s="18">
        <f>VLOOKUP(C143,Sheet2!A:N,5,0)</f>
        <v>1.18</v>
      </c>
      <c r="G143" s="18">
        <f>VLOOKUP(C143,Sheet2!A:N,8,0)</f>
        <v>1.29</v>
      </c>
      <c r="H143" s="18">
        <f>VLOOKUP(C143,Sheet2!A:N,7,0)</f>
        <v>9.32</v>
      </c>
      <c r="I143" s="18">
        <f>VLOOKUP(C143,Sheet2!A:N,8,0)</f>
        <v>1.29</v>
      </c>
      <c r="J143" s="18">
        <f>VLOOKUP(C143,Sheet2!A:N,9,0)</f>
        <v>1.3</v>
      </c>
      <c r="K143" s="18">
        <f>VLOOKUP(C143,Sheet2!A:N,10,0)</f>
        <v>1.17</v>
      </c>
      <c r="L143" s="20">
        <f>VLOOKUP(C143,Sheet2!A:N,11,0)</f>
        <v>79653620.079999998</v>
      </c>
      <c r="M143" s="21">
        <f>VLOOKUP(C143,Sheet2!A:N,12,0)</f>
        <v>63324912</v>
      </c>
      <c r="N143" s="18">
        <f>VLOOKUP(C143,Sheet2!A:N,13,0)</f>
        <v>1523</v>
      </c>
      <c r="O143" s="21">
        <f>VLOOKUP(C143,Sheet2!A:N,14,0)</f>
        <v>1391</v>
      </c>
    </row>
    <row r="144" spans="1:15" x14ac:dyDescent="0.25">
      <c r="A144" s="19" t="s">
        <v>310</v>
      </c>
      <c r="B144" s="18" t="str">
        <f t="shared" si="2"/>
        <v>اسمنت سيناء</v>
      </c>
      <c r="C144" s="18" t="str">
        <f>VLOOKUP(A144,Sheet1!C:F,2,0)</f>
        <v>اسمنت سيناء</v>
      </c>
      <c r="D144" s="18" t="s">
        <v>93</v>
      </c>
      <c r="E144" s="18">
        <f>VLOOKUP(C144,Sheet2!A:N,4,0)</f>
        <v>62.06</v>
      </c>
      <c r="F144" s="18">
        <f>VLOOKUP(C144,Sheet2!A:N,5,0)</f>
        <v>62.06</v>
      </c>
      <c r="G144" s="18">
        <f>VLOOKUP(C144,Sheet2!A:N,6,0)</f>
        <v>62.18</v>
      </c>
      <c r="H144" s="18">
        <f>VLOOKUP(C144,Sheet2!A:N,7,0)</f>
        <v>0.19</v>
      </c>
      <c r="I144" s="18">
        <f>VLOOKUP(C144,Sheet2!A:N,8,0)</f>
        <v>62.18</v>
      </c>
      <c r="J144" s="18">
        <f>VLOOKUP(C144,Sheet2!A:N,9,0)</f>
        <v>62.37</v>
      </c>
      <c r="K144" s="18">
        <f>VLOOKUP(C144,Sheet2!A:N,10,0)</f>
        <v>61.5</v>
      </c>
      <c r="L144" s="20">
        <f>VLOOKUP(C144,Sheet2!A:N,11,0)</f>
        <v>20510871.289999999</v>
      </c>
      <c r="M144" s="21">
        <f>VLOOKUP(C144,Sheet2!A:N,12,0)</f>
        <v>331112</v>
      </c>
      <c r="N144" s="18">
        <f>VLOOKUP(C144,Sheet2!A:N,13,0)</f>
        <v>281</v>
      </c>
      <c r="O144" s="21">
        <f>VLOOKUP(C144,Sheet2!A:N,14,0)</f>
        <v>16217</v>
      </c>
    </row>
    <row r="145" spans="1:15" x14ac:dyDescent="0.25">
      <c r="A145" s="19" t="s">
        <v>317</v>
      </c>
      <c r="B145" s="18" t="str">
        <f t="shared" si="2"/>
        <v>مصر بنى سويف للاسمنت</v>
      </c>
      <c r="C145" s="18" t="str">
        <f>VLOOKUP(A145,Sheet1!C:F,2,0)</f>
        <v>مصر بنى سويف للاسمنت</v>
      </c>
      <c r="D145" s="18" t="s">
        <v>93</v>
      </c>
      <c r="E145" s="18">
        <f>VLOOKUP(C145,Sheet2!A:N,4,0)</f>
        <v>271.52</v>
      </c>
      <c r="F145" s="18">
        <f>VLOOKUP(C145,Sheet2!A:N,5,0)</f>
        <v>271.52</v>
      </c>
      <c r="G145" s="18">
        <f>VLOOKUP(C145,Sheet2!A:N,6,0)</f>
        <v>251.92</v>
      </c>
      <c r="H145" s="18">
        <f>VLOOKUP(C145,Sheet2!A:N,7,0)</f>
        <v>-7.22</v>
      </c>
      <c r="I145" s="18">
        <f>VLOOKUP(C145,Sheet2!A:N,8,0)</f>
        <v>251.92</v>
      </c>
      <c r="J145" s="18">
        <f>VLOOKUP(C145,Sheet2!A:N,9,0)</f>
        <v>254.99</v>
      </c>
      <c r="K145" s="18">
        <f>VLOOKUP(C145,Sheet2!A:N,10,0)</f>
        <v>251.57</v>
      </c>
      <c r="L145" s="20">
        <f>VLOOKUP(C145,Sheet2!A:N,11,0)</f>
        <v>35958353.030000001</v>
      </c>
      <c r="M145" s="21">
        <f>VLOOKUP(C145,Sheet2!A:N,12,0)</f>
        <v>142152</v>
      </c>
      <c r="N145" s="18">
        <f>VLOOKUP(C145,Sheet2!A:N,13,0)</f>
        <v>1507</v>
      </c>
      <c r="O145" s="21">
        <f>VLOOKUP(C145,Sheet2!A:N,14,0)</f>
        <v>13861</v>
      </c>
    </row>
    <row r="146" spans="1:15" x14ac:dyDescent="0.25">
      <c r="A146" s="19" t="s">
        <v>402</v>
      </c>
      <c r="B146" s="18" t="str">
        <f t="shared" si="2"/>
        <v>جنوب الوادى للاسمنت</v>
      </c>
      <c r="C146" s="18" t="str">
        <f>VLOOKUP(A146,Sheet1!C:F,2,0)</f>
        <v>جنوب الوادى للاسمنت</v>
      </c>
      <c r="D146" s="18" t="s">
        <v>93</v>
      </c>
      <c r="E146" s="18">
        <f>VLOOKUP(C146,Sheet2!A:N,4,0)</f>
        <v>9.16</v>
      </c>
      <c r="F146" s="18">
        <f>VLOOKUP(C146,Sheet2!A:N,5,0)</f>
        <v>9.16</v>
      </c>
      <c r="G146" s="18">
        <f>VLOOKUP(C146,Sheet2!A:N,6,0)</f>
        <v>9.02</v>
      </c>
      <c r="H146" s="18">
        <f>VLOOKUP(C146,Sheet2!A:N,7,0)</f>
        <v>-1.53</v>
      </c>
      <c r="I146" s="18">
        <f>VLOOKUP(C146,Sheet2!A:N,8,0)</f>
        <v>9.02</v>
      </c>
      <c r="J146" s="18">
        <f>VLOOKUP(C146,Sheet2!A:N,9,0)</f>
        <v>9.2899999999999991</v>
      </c>
      <c r="K146" s="18">
        <f>VLOOKUP(C146,Sheet2!A:N,10,0)</f>
        <v>9</v>
      </c>
      <c r="L146" s="20">
        <f>VLOOKUP(C146,Sheet2!A:N,11,0)</f>
        <v>85696028.180000007</v>
      </c>
      <c r="M146" s="21">
        <f>VLOOKUP(C146,Sheet2!A:N,12,0)</f>
        <v>9371974</v>
      </c>
      <c r="N146" s="18">
        <f>VLOOKUP(C146,Sheet2!A:N,13,0)</f>
        <v>2004</v>
      </c>
      <c r="O146" s="21">
        <f>VLOOKUP(C146,Sheet2!A:N,14,0)</f>
        <v>4350</v>
      </c>
    </row>
    <row r="147" spans="1:15" x14ac:dyDescent="0.25">
      <c r="A147" s="19" t="s">
        <v>365</v>
      </c>
      <c r="B147" s="18" t="str">
        <f t="shared" si="2"/>
        <v>الدلتا للسكر</v>
      </c>
      <c r="C147" s="18" t="str">
        <f>VLOOKUP(A147,Sheet1!C:F,2,0)</f>
        <v>الدلتا للسكر</v>
      </c>
      <c r="D147" s="18" t="s">
        <v>48</v>
      </c>
      <c r="E147" s="18">
        <f>VLOOKUP(C147,Sheet2!A:N,4,0)</f>
        <v>48.54</v>
      </c>
      <c r="F147" s="18">
        <f>VLOOKUP(C147,Sheet2!A:N,5,0)</f>
        <v>48.54</v>
      </c>
      <c r="G147" s="18">
        <f>VLOOKUP(C147,Sheet2!A:N,6,0)</f>
        <v>48.64</v>
      </c>
      <c r="H147" s="18">
        <f>VLOOKUP(C147,Sheet2!A:N,7,0)</f>
        <v>0.21</v>
      </c>
      <c r="I147" s="18">
        <f>VLOOKUP(C147,Sheet2!A:N,8,0)</f>
        <v>48.78</v>
      </c>
      <c r="J147" s="18">
        <f>VLOOKUP(C147,Sheet2!A:N,9,0)</f>
        <v>48.87</v>
      </c>
      <c r="K147" s="18">
        <f>VLOOKUP(C147,Sheet2!A:N,10,0)</f>
        <v>48.41</v>
      </c>
      <c r="L147" s="20">
        <f>VLOOKUP(C147,Sheet2!A:N,11,0)</f>
        <v>3080752.77</v>
      </c>
      <c r="M147" s="21">
        <f>VLOOKUP(C147,Sheet2!A:N,12,0)</f>
        <v>63373</v>
      </c>
      <c r="N147" s="18">
        <f>VLOOKUP(C147,Sheet2!A:N,13,0)</f>
        <v>173</v>
      </c>
      <c r="O147" s="21">
        <f>VLOOKUP(C147,Sheet2!A:N,14,0)</f>
        <v>6917</v>
      </c>
    </row>
    <row r="148" spans="1:15" x14ac:dyDescent="0.25">
      <c r="A148" s="19" t="s">
        <v>541</v>
      </c>
      <c r="B148" s="18" t="str">
        <f t="shared" si="2"/>
        <v>الشرقية الوطنية للامن الغذائي</v>
      </c>
      <c r="C148" s="18" t="str">
        <f>VLOOKUP(A148,Sheet1!C:F,2,0)</f>
        <v>الشرقية الوطنية للامن الغذائي</v>
      </c>
      <c r="D148" s="18" t="s">
        <v>48</v>
      </c>
      <c r="E148" s="18">
        <f>VLOOKUP(C148,Sheet2!A:N,4,0)</f>
        <v>12.39</v>
      </c>
      <c r="F148" s="18">
        <f>VLOOKUP(C148,Sheet2!A:N,5,0)</f>
        <v>12.39</v>
      </c>
      <c r="G148" s="18">
        <f>VLOOKUP(C148,Sheet2!A:N,6,0)</f>
        <v>12.36</v>
      </c>
      <c r="H148" s="18">
        <f>VLOOKUP(C148,Sheet2!A:N,7,0)</f>
        <v>-0.24</v>
      </c>
      <c r="I148" s="18">
        <f>VLOOKUP(C148,Sheet2!A:N,8,0)</f>
        <v>12.37</v>
      </c>
      <c r="J148" s="18">
        <f>VLOOKUP(C148,Sheet2!A:N,9,0)</f>
        <v>12.39</v>
      </c>
      <c r="K148" s="18">
        <f>VLOOKUP(C148,Sheet2!A:N,10,0)</f>
        <v>12.19</v>
      </c>
      <c r="L148" s="20">
        <f>VLOOKUP(C148,Sheet2!A:N,11,0)</f>
        <v>5251659.49</v>
      </c>
      <c r="M148" s="21">
        <f>VLOOKUP(C148,Sheet2!A:N,12,0)</f>
        <v>428142</v>
      </c>
      <c r="N148" s="18">
        <f>VLOOKUP(C148,Sheet2!A:N,13,0)</f>
        <v>164</v>
      </c>
      <c r="O148" s="21">
        <f>VLOOKUP(C148,Sheet2!A:N,14,0)</f>
        <v>2026</v>
      </c>
    </row>
    <row r="149" spans="1:15" x14ac:dyDescent="0.25">
      <c r="A149" s="19" t="s">
        <v>454</v>
      </c>
      <c r="B149" s="18" t="str">
        <f t="shared" si="2"/>
        <v>بنك فيصل الاسلامي المصرية بالجنية</v>
      </c>
      <c r="C149" s="18" t="str">
        <f>VLOOKUP(A149,Sheet1!C:F,2,0)</f>
        <v>بنك فيصل الاسلامي المصرية بالجنية</v>
      </c>
      <c r="D149" s="18" t="s">
        <v>49</v>
      </c>
      <c r="E149" s="18">
        <f>VLOOKUP(C149,Sheet2!A:N,4,0)</f>
        <v>37.42</v>
      </c>
      <c r="F149" s="18">
        <f>VLOOKUP(C149,Sheet2!A:N,5,0)</f>
        <v>37.42</v>
      </c>
      <c r="G149" s="18">
        <f>VLOOKUP(C149,Sheet2!A:N,6,0)</f>
        <v>37.21</v>
      </c>
      <c r="H149" s="18">
        <f>VLOOKUP(C149,Sheet2!A:N,7,0)</f>
        <v>-0.56000000000000005</v>
      </c>
      <c r="I149" s="18">
        <f>VLOOKUP(C149,Sheet2!A:N,8,0)</f>
        <v>37.01</v>
      </c>
      <c r="J149" s="18">
        <f>VLOOKUP(C149,Sheet2!A:N,9,0)</f>
        <v>37.42</v>
      </c>
      <c r="K149" s="18">
        <f>VLOOKUP(C149,Sheet2!A:N,10,0)</f>
        <v>36.049999999999997</v>
      </c>
      <c r="L149" s="20">
        <f>VLOOKUP(C149,Sheet2!A:N,11,0)</f>
        <v>1377505.02</v>
      </c>
      <c r="M149" s="21">
        <f>VLOOKUP(C149,Sheet2!A:N,12,0)</f>
        <v>37158</v>
      </c>
      <c r="N149" s="18">
        <f>VLOOKUP(C149,Sheet2!A:N,13,0)</f>
        <v>124</v>
      </c>
      <c r="O149" s="21">
        <f>VLOOKUP(C149,Sheet2!A:N,14,0)</f>
        <v>8406</v>
      </c>
    </row>
    <row r="150" spans="1:15" x14ac:dyDescent="0.25">
      <c r="A150" s="19" t="s">
        <v>542</v>
      </c>
      <c r="B150" s="18" t="str">
        <f t="shared" si="2"/>
        <v>الاستثمار العقاري العربي - اليكو</v>
      </c>
      <c r="C150" s="18" t="str">
        <f>VLOOKUP(A150,Sheet1!C:F,2,0)</f>
        <v>الاستثمار العقاري العربي - اليكو</v>
      </c>
      <c r="D150" s="18" t="s">
        <v>40</v>
      </c>
      <c r="E150" s="18">
        <f>VLOOKUP(C150,Sheet2!A:N,4,0)</f>
        <v>3.5</v>
      </c>
      <c r="F150" s="18">
        <f>VLOOKUP(C150,Sheet2!A:N,5,0)</f>
        <v>3.5</v>
      </c>
      <c r="G150" s="18">
        <f>VLOOKUP(C150,Sheet2!A:N,6,0)</f>
        <v>3.65</v>
      </c>
      <c r="H150" s="18">
        <f>VLOOKUP(C150,Sheet2!A:N,7,0)</f>
        <v>4.29</v>
      </c>
      <c r="I150" s="18">
        <f>VLOOKUP(C150,Sheet2!A:N,8,0)</f>
        <v>3.65</v>
      </c>
      <c r="J150" s="18">
        <f>VLOOKUP(C150,Sheet2!A:N,9,0)</f>
        <v>3.67</v>
      </c>
      <c r="K150" s="18">
        <f>VLOOKUP(C150,Sheet2!A:N,10,0)</f>
        <v>3.52</v>
      </c>
      <c r="L150" s="20">
        <f>VLOOKUP(C150,Sheet2!A:N,11,0)</f>
        <v>40623262.670000002</v>
      </c>
      <c r="M150" s="21">
        <f>VLOOKUP(C150,Sheet2!A:N,12,0)</f>
        <v>11241504</v>
      </c>
      <c r="N150" s="18">
        <f>VLOOKUP(C150,Sheet2!A:N,13,0)</f>
        <v>927</v>
      </c>
      <c r="O150" s="21">
        <f>VLOOKUP(C150,Sheet2!A:N,14,0)</f>
        <v>899</v>
      </c>
    </row>
    <row r="151" spans="1:15" x14ac:dyDescent="0.25">
      <c r="A151" s="19" t="s">
        <v>475</v>
      </c>
      <c r="B151" s="18" t="str">
        <f t="shared" si="2"/>
        <v>الاهلي للتنمية والاستثمار</v>
      </c>
      <c r="C151" s="18" t="str">
        <f>VLOOKUP(A151,Sheet1!C:F,2,0)</f>
        <v>الاهلي للتنمية والاستثمار</v>
      </c>
      <c r="D151" s="18" t="s">
        <v>44</v>
      </c>
      <c r="E151" s="18">
        <f>VLOOKUP(C151,Sheet2!A:N,4,0)</f>
        <v>42.97</v>
      </c>
      <c r="F151" s="18">
        <f>VLOOKUP(C151,Sheet2!A:N,5,0)</f>
        <v>42.97</v>
      </c>
      <c r="G151" s="18">
        <f>VLOOKUP(C151,Sheet2!A:N,6,0)</f>
        <v>42.8</v>
      </c>
      <c r="H151" s="18">
        <f>VLOOKUP(C151,Sheet2!A:N,7,0)</f>
        <v>-0.4</v>
      </c>
      <c r="I151" s="18">
        <f>VLOOKUP(C151,Sheet2!A:N,8,0)</f>
        <v>42.8</v>
      </c>
      <c r="J151" s="18">
        <f>VLOOKUP(C151,Sheet2!A:N,9,0)</f>
        <v>43.4</v>
      </c>
      <c r="K151" s="18">
        <f>VLOOKUP(C151,Sheet2!A:N,10,0)</f>
        <v>42.01</v>
      </c>
      <c r="L151" s="20">
        <f>VLOOKUP(C151,Sheet2!A:N,11,0)</f>
        <v>5577093.29</v>
      </c>
      <c r="M151" s="21">
        <f>VLOOKUP(C151,Sheet2!A:N,12,0)</f>
        <v>130834</v>
      </c>
      <c r="N151" s="18">
        <f>VLOOKUP(C151,Sheet2!A:N,13,0)</f>
        <v>158</v>
      </c>
      <c r="O151" s="21">
        <f>VLOOKUP(C151,Sheet2!A:N,14,0)</f>
        <v>770</v>
      </c>
    </row>
    <row r="152" spans="1:15" x14ac:dyDescent="0.25">
      <c r="A152" s="19" t="s">
        <v>543</v>
      </c>
      <c r="B152" s="18" t="str">
        <f t="shared" si="2"/>
        <v>القاهرة الوطنية للاستثمار والاوراق المالية</v>
      </c>
      <c r="C152" s="18" t="str">
        <f>VLOOKUP(A152,Sheet1!C:F,2,0)</f>
        <v>القاهرة الوطنية للاستثمار والاوراق المالية</v>
      </c>
      <c r="D152" s="18" t="s">
        <v>44</v>
      </c>
      <c r="E152" s="18">
        <f>VLOOKUP(C152,Sheet2!A:N,4,0)</f>
        <v>75.040000000000006</v>
      </c>
      <c r="F152" s="18">
        <f>VLOOKUP(C152,Sheet2!A:N,5,0)</f>
        <v>75.040000000000006</v>
      </c>
      <c r="G152" s="18">
        <f>VLOOKUP(C152,Sheet2!A:N,6,0)</f>
        <v>74.150000000000006</v>
      </c>
      <c r="H152" s="18">
        <f>VLOOKUP(C152,Sheet2!A:N,7,0)</f>
        <v>-1.19</v>
      </c>
      <c r="I152" s="18">
        <f>VLOOKUP(C152,Sheet2!A:N,8,0)</f>
        <v>74.150000000000006</v>
      </c>
      <c r="J152" s="18">
        <f>VLOOKUP(C152,Sheet2!A:N,9,0)</f>
        <v>75.98</v>
      </c>
      <c r="K152" s="18">
        <f>VLOOKUP(C152,Sheet2!A:N,10,0)</f>
        <v>72.5</v>
      </c>
      <c r="L152" s="20">
        <f>VLOOKUP(C152,Sheet2!A:N,11,0)</f>
        <v>5380090.5300000003</v>
      </c>
      <c r="M152" s="21">
        <f>VLOOKUP(C152,Sheet2!A:N,12,0)</f>
        <v>72700</v>
      </c>
      <c r="N152" s="18">
        <f>VLOOKUP(C152,Sheet2!A:N,13,0)</f>
        <v>235</v>
      </c>
      <c r="O152" s="21">
        <f>VLOOKUP(C152,Sheet2!A:N,14,0)</f>
        <v>779</v>
      </c>
    </row>
    <row r="153" spans="1:15" x14ac:dyDescent="0.25">
      <c r="A153" s="19" t="s">
        <v>545</v>
      </c>
      <c r="B153" s="18" t="str">
        <f t="shared" si="2"/>
        <v>الوطنية للاسكان للنقابات المهنية</v>
      </c>
      <c r="C153" s="18" t="str">
        <f>VLOOKUP(A153,Sheet1!C:F,2,0)</f>
        <v>الوطنية للاسكان للنقابات المهنية</v>
      </c>
      <c r="D153" s="18" t="s">
        <v>40</v>
      </c>
      <c r="E153" s="18">
        <f>VLOOKUP(C153,Sheet2!A:N,4,0)</f>
        <v>67.72</v>
      </c>
      <c r="F153" s="18">
        <f>VLOOKUP(C153,Sheet2!A:N,5,0)</f>
        <v>67.72</v>
      </c>
      <c r="G153" s="18">
        <f>VLOOKUP(C153,Sheet2!A:N,6,0)</f>
        <v>68.069999999999993</v>
      </c>
      <c r="H153" s="18">
        <f>VLOOKUP(C153,Sheet2!A:N,7,0)</f>
        <v>0.52</v>
      </c>
      <c r="I153" s="18">
        <f>VLOOKUP(C153,Sheet2!A:N,8,0)</f>
        <v>68.069999999999993</v>
      </c>
      <c r="J153" s="18">
        <f>VLOOKUP(C153,Sheet2!A:N,9,0)</f>
        <v>69</v>
      </c>
      <c r="K153" s="18">
        <f>VLOOKUP(C153,Sheet2!A:N,10,0)</f>
        <v>68</v>
      </c>
      <c r="L153" s="20">
        <f>VLOOKUP(C153,Sheet2!A:N,11,0)</f>
        <v>2959701.55</v>
      </c>
      <c r="M153" s="21">
        <f>VLOOKUP(C153,Sheet2!A:N,12,0)</f>
        <v>43310</v>
      </c>
      <c r="N153" s="18">
        <f>VLOOKUP(C153,Sheet2!A:N,13,0)</f>
        <v>167</v>
      </c>
      <c r="O153" s="21">
        <f>VLOOKUP(C153,Sheet2!A:N,14,0)</f>
        <v>1089</v>
      </c>
    </row>
    <row r="154" spans="1:15" x14ac:dyDescent="0.25">
      <c r="A154" s="19" t="s">
        <v>453</v>
      </c>
      <c r="B154" s="18" t="str">
        <f t="shared" si="2"/>
        <v>التعمير والاستشارات الهندسية</v>
      </c>
      <c r="C154" s="18" t="str">
        <f>VLOOKUP(A154,Sheet1!C:F,2,0)</f>
        <v>التعمير والاستشارات الهندسية</v>
      </c>
      <c r="D154" s="18" t="s">
        <v>40</v>
      </c>
      <c r="E154" s="18">
        <f>VLOOKUP(C154,Sheet2!A:N,4,0)</f>
        <v>77.72</v>
      </c>
      <c r="F154" s="18">
        <f>VLOOKUP(C154,Sheet2!A:N,5,0)</f>
        <v>77.72</v>
      </c>
      <c r="G154" s="18">
        <f>VLOOKUP(C154,Sheet2!A:N,6,0)</f>
        <v>81.260000000000005</v>
      </c>
      <c r="H154" s="18">
        <f>VLOOKUP(C154,Sheet2!A:N,7,0)</f>
        <v>4.55</v>
      </c>
      <c r="I154" s="18">
        <f>VLOOKUP(C154,Sheet2!A:N,8,0)</f>
        <v>81.260000000000005</v>
      </c>
      <c r="J154" s="18">
        <f>VLOOKUP(C154,Sheet2!A:N,9,0)</f>
        <v>82</v>
      </c>
      <c r="K154" s="18">
        <f>VLOOKUP(C154,Sheet2!A:N,10,0)</f>
        <v>77.52</v>
      </c>
      <c r="L154" s="20">
        <f>VLOOKUP(C154,Sheet2!A:N,11,0)</f>
        <v>11660050.85</v>
      </c>
      <c r="M154" s="21">
        <f>VLOOKUP(C154,Sheet2!A:N,12,0)</f>
        <v>144658</v>
      </c>
      <c r="N154" s="18">
        <f>VLOOKUP(C154,Sheet2!A:N,13,0)</f>
        <v>428</v>
      </c>
      <c r="O154" s="21">
        <f>VLOOKUP(C154,Sheet2!A:N,14,0)</f>
        <v>1911</v>
      </c>
    </row>
    <row r="155" spans="1:15" x14ac:dyDescent="0.25">
      <c r="A155" s="19" t="s">
        <v>546</v>
      </c>
      <c r="B155" s="18" t="str">
        <f t="shared" si="2"/>
        <v>القاهرة للاسكان والتعمير</v>
      </c>
      <c r="C155" s="18" t="str">
        <f>VLOOKUP(A155,Sheet1!C:F,2,0)</f>
        <v>القاهرة للاسكان والتعمير</v>
      </c>
      <c r="D155" s="18" t="s">
        <v>40</v>
      </c>
      <c r="E155" s="18">
        <f>VLOOKUP(C155,Sheet2!A:N,4,0)</f>
        <v>1.27</v>
      </c>
      <c r="F155" s="18">
        <f>VLOOKUP(C155,Sheet2!A:N,5,0)</f>
        <v>1.27</v>
      </c>
      <c r="G155" s="18">
        <f>VLOOKUP(C155,Sheet2!A:N,6,0)</f>
        <v>1.32</v>
      </c>
      <c r="H155" s="18">
        <f>VLOOKUP(C155,Sheet2!A:N,7,0)</f>
        <v>3.94</v>
      </c>
      <c r="I155" s="18">
        <f>VLOOKUP(C155,Sheet2!A:N,8,0)</f>
        <v>1.32</v>
      </c>
      <c r="J155" s="18">
        <f>VLOOKUP(C155,Sheet2!A:N,9,0)</f>
        <v>1.32</v>
      </c>
      <c r="K155" s="18">
        <f>VLOOKUP(C155,Sheet2!A:N,10,0)</f>
        <v>1.26</v>
      </c>
      <c r="L155" s="20">
        <f>VLOOKUP(C155,Sheet2!A:N,11,0)</f>
        <v>57681698.649999999</v>
      </c>
      <c r="M155" s="21">
        <f>VLOOKUP(C155,Sheet2!A:N,12,0)</f>
        <v>44426700</v>
      </c>
      <c r="N155" s="18">
        <f>VLOOKUP(C155,Sheet2!A:N,13,0)</f>
        <v>1338</v>
      </c>
      <c r="O155" s="21">
        <f>VLOOKUP(C155,Sheet2!A:N,14,0)</f>
        <v>2451</v>
      </c>
    </row>
    <row r="156" spans="1:15" x14ac:dyDescent="0.25">
      <c r="A156" s="19" t="s">
        <v>478</v>
      </c>
      <c r="B156" s="18" t="str">
        <f t="shared" si="2"/>
        <v>المتحدة للاسكان والتعمير</v>
      </c>
      <c r="C156" s="18" t="str">
        <f>VLOOKUP(A156,Sheet1!C:F,2,0)</f>
        <v>المتحدة للاسكان والتعمير</v>
      </c>
      <c r="D156" s="18" t="s">
        <v>40</v>
      </c>
      <c r="E156" s="18">
        <f>VLOOKUP(C156,Sheet2!A:N,4,0)</f>
        <v>13.48</v>
      </c>
      <c r="F156" s="18">
        <f>VLOOKUP(C156,Sheet2!A:N,5,0)</f>
        <v>13.48</v>
      </c>
      <c r="G156" s="18">
        <f>VLOOKUP(C156,Sheet2!A:N,6,0)</f>
        <v>13.64</v>
      </c>
      <c r="H156" s="18">
        <f>VLOOKUP(C156,Sheet2!A:N,7,0)</f>
        <v>1.19</v>
      </c>
      <c r="I156" s="18">
        <f>VLOOKUP(C156,Sheet2!A:N,8,0)</f>
        <v>13.77</v>
      </c>
      <c r="J156" s="18">
        <f>VLOOKUP(C156,Sheet2!A:N,9,0)</f>
        <v>13.86</v>
      </c>
      <c r="K156" s="18">
        <f>VLOOKUP(C156,Sheet2!A:N,10,0)</f>
        <v>13.3</v>
      </c>
      <c r="L156" s="20">
        <f>VLOOKUP(C156,Sheet2!A:N,11,0)</f>
        <v>2527978.21</v>
      </c>
      <c r="M156" s="21">
        <f>VLOOKUP(C156,Sheet2!A:N,12,0)</f>
        <v>185208</v>
      </c>
      <c r="N156" s="18">
        <f>VLOOKUP(C156,Sheet2!A:N,13,0)</f>
        <v>153</v>
      </c>
      <c r="O156" s="21">
        <f>VLOOKUP(C156,Sheet2!A:N,14,0)</f>
        <v>3211</v>
      </c>
    </row>
    <row r="157" spans="1:15" x14ac:dyDescent="0.25">
      <c r="A157" s="19" t="s">
        <v>548</v>
      </c>
      <c r="B157" s="18" t="str">
        <f t="shared" si="2"/>
        <v>رواد السياحة - الرواد</v>
      </c>
      <c r="C157" s="18" t="str">
        <f>VLOOKUP(A157,Sheet1!C:F,2,0)</f>
        <v>رواد السياحة - الرواد</v>
      </c>
      <c r="D157" s="18" t="s">
        <v>67</v>
      </c>
      <c r="E157" s="18">
        <f>VLOOKUP(C157,Sheet2!A:N,4,0)</f>
        <v>34.47</v>
      </c>
      <c r="F157" s="18">
        <f>VLOOKUP(C157,Sheet2!A:N,5,0)</f>
        <v>34.47</v>
      </c>
      <c r="G157" s="18">
        <f>VLOOKUP(C157,Sheet2!A:N,6,0)</f>
        <v>35.54</v>
      </c>
      <c r="H157" s="18">
        <f>VLOOKUP(C157,Sheet2!A:N,7,0)</f>
        <v>3.1</v>
      </c>
      <c r="I157" s="18">
        <f>VLOOKUP(C157,Sheet2!A:N,8,0)</f>
        <v>35.54</v>
      </c>
      <c r="J157" s="18">
        <f>VLOOKUP(C157,Sheet2!A:N,9,0)</f>
        <v>35.85</v>
      </c>
      <c r="K157" s="18">
        <f>VLOOKUP(C157,Sheet2!A:N,10,0)</f>
        <v>34.5</v>
      </c>
      <c r="L157" s="20">
        <f>VLOOKUP(C157,Sheet2!A:N,11,0)</f>
        <v>15441989.23</v>
      </c>
      <c r="M157" s="21">
        <f>VLOOKUP(C157,Sheet2!A:N,12,0)</f>
        <v>439651</v>
      </c>
      <c r="N157" s="18">
        <f>VLOOKUP(C157,Sheet2!A:N,13,0)</f>
        <v>486</v>
      </c>
      <c r="O157" s="21">
        <f>VLOOKUP(C157,Sheet2!A:N,14,0)</f>
        <v>615</v>
      </c>
    </row>
    <row r="158" spans="1:15" x14ac:dyDescent="0.25">
      <c r="A158" s="19" t="s">
        <v>398</v>
      </c>
      <c r="B158" s="18" t="str">
        <f t="shared" si="2"/>
        <v>بيراميزا للفنادق والقرى السياحية - بيراميزا</v>
      </c>
      <c r="C158" s="18" t="str">
        <f>VLOOKUP(A158,Sheet1!C:F,2,0)</f>
        <v>بيراميزا للفنادق والقرى السياحية - بيراميزا</v>
      </c>
      <c r="D158" s="18" t="s">
        <v>67</v>
      </c>
      <c r="E158" s="18">
        <f>VLOOKUP(C158,Sheet2!A:N,4,0)</f>
        <v>219.99</v>
      </c>
      <c r="F158" s="18">
        <f>VLOOKUP(C158,Sheet2!A:N,5,0)</f>
        <v>219.99</v>
      </c>
      <c r="G158" s="18">
        <f>VLOOKUP(C158,Sheet2!A:N,6,0)</f>
        <v>221.5</v>
      </c>
      <c r="H158" s="18">
        <f>VLOOKUP(C158,Sheet2!A:N,7,0)</f>
        <v>0.69</v>
      </c>
      <c r="I158" s="18">
        <f>VLOOKUP(C158,Sheet2!A:N,8,0)</f>
        <v>221.5</v>
      </c>
      <c r="J158" s="18">
        <f>VLOOKUP(C158,Sheet2!A:N,9,0)</f>
        <v>224.99</v>
      </c>
      <c r="K158" s="18">
        <f>VLOOKUP(C158,Sheet2!A:N,10,0)</f>
        <v>219</v>
      </c>
      <c r="L158" s="20">
        <f>VLOOKUP(C158,Sheet2!A:N,11,0)</f>
        <v>23022256.73</v>
      </c>
      <c r="M158" s="21">
        <f>VLOOKUP(C158,Sheet2!A:N,12,0)</f>
        <v>103998</v>
      </c>
      <c r="N158" s="18">
        <f>VLOOKUP(C158,Sheet2!A:N,13,0)</f>
        <v>505</v>
      </c>
      <c r="O158" s="21">
        <f>VLOOKUP(C158,Sheet2!A:N,14,0)</f>
        <v>5615</v>
      </c>
    </row>
    <row r="159" spans="1:15" x14ac:dyDescent="0.25">
      <c r="A159" s="19" t="s">
        <v>356</v>
      </c>
      <c r="B159" s="18" t="str">
        <f t="shared" si="2"/>
        <v>المصرية للمنتجعات السياحية</v>
      </c>
      <c r="C159" s="18" t="str">
        <f>VLOOKUP(A159,Sheet1!C:F,2,0)</f>
        <v>المصرية للمنتجعات السياحية</v>
      </c>
      <c r="D159" s="18" t="s">
        <v>67</v>
      </c>
      <c r="E159" s="18">
        <f>VLOOKUP(C159,Sheet2!A:N,4,0)</f>
        <v>17.8</v>
      </c>
      <c r="F159" s="18">
        <f>VLOOKUP(C159,Sheet2!A:N,5,0)</f>
        <v>17.8</v>
      </c>
      <c r="G159" s="18">
        <f>VLOOKUP(C159,Sheet2!A:N,6,0)</f>
        <v>17.71</v>
      </c>
      <c r="H159" s="18">
        <f>VLOOKUP(C159,Sheet2!A:N,7,0)</f>
        <v>-0.51</v>
      </c>
      <c r="I159" s="18">
        <f>VLOOKUP(C159,Sheet2!A:N,8,0)</f>
        <v>17.71</v>
      </c>
      <c r="J159" s="18">
        <f>VLOOKUP(C159,Sheet2!A:N,9,0)</f>
        <v>18.14</v>
      </c>
      <c r="K159" s="18">
        <f>VLOOKUP(C159,Sheet2!A:N,10,0)</f>
        <v>17.5</v>
      </c>
      <c r="L159" s="20">
        <f>VLOOKUP(C159,Sheet2!A:N,11,0)</f>
        <v>53657752.25</v>
      </c>
      <c r="M159" s="21">
        <f>VLOOKUP(C159,Sheet2!A:N,12,0)</f>
        <v>3012260</v>
      </c>
      <c r="N159" s="18">
        <f>VLOOKUP(C159,Sheet2!A:N,13,0)</f>
        <v>643</v>
      </c>
      <c r="O159" s="21">
        <f>VLOOKUP(C159,Sheet2!A:N,14,0)</f>
        <v>18596</v>
      </c>
    </row>
    <row r="160" spans="1:15" x14ac:dyDescent="0.25">
      <c r="A160" s="19" t="s">
        <v>549</v>
      </c>
      <c r="B160" s="18" t="str">
        <f t="shared" si="2"/>
        <v>مستشفى النزهه الدولي</v>
      </c>
      <c r="C160" s="18" t="str">
        <f>VLOOKUP(A160,Sheet1!C:F,2,0)</f>
        <v>مستشفى النزهه الدولي</v>
      </c>
      <c r="D160" s="18" t="s">
        <v>51</v>
      </c>
      <c r="E160" s="18">
        <f>VLOOKUP(C160,Sheet2!A:N,4,0)</f>
        <v>17.36</v>
      </c>
      <c r="F160" s="18">
        <f>VLOOKUP(C160,Sheet2!A:N,5,0)</f>
        <v>17.36</v>
      </c>
      <c r="G160" s="18">
        <f>VLOOKUP(C160,Sheet2!A:N,6,0)</f>
        <v>17.690000000000001</v>
      </c>
      <c r="H160" s="18">
        <f>VLOOKUP(C160,Sheet2!A:N,7,0)</f>
        <v>1.9</v>
      </c>
      <c r="I160" s="18">
        <f>VLOOKUP(C160,Sheet2!A:N,8,0)</f>
        <v>17.41</v>
      </c>
      <c r="J160" s="18">
        <f>VLOOKUP(C160,Sheet2!A:N,9,0)</f>
        <v>17.850000000000001</v>
      </c>
      <c r="K160" s="18">
        <f>VLOOKUP(C160,Sheet2!A:N,10,0)</f>
        <v>17.03</v>
      </c>
      <c r="L160" s="20">
        <f>VLOOKUP(C160,Sheet2!A:N,11,0)</f>
        <v>1816454.27</v>
      </c>
      <c r="M160" s="21">
        <f>VLOOKUP(C160,Sheet2!A:N,12,0)</f>
        <v>104564</v>
      </c>
      <c r="N160" s="18">
        <f>VLOOKUP(C160,Sheet2!A:N,13,0)</f>
        <v>189</v>
      </c>
      <c r="O160" s="21">
        <f>VLOOKUP(C160,Sheet2!A:N,14,0)</f>
        <v>5307</v>
      </c>
    </row>
    <row r="161" spans="1:15" x14ac:dyDescent="0.25">
      <c r="A161" s="19" t="s">
        <v>418</v>
      </c>
      <c r="B161" s="18" t="str">
        <f t="shared" si="2"/>
        <v>كوبر للاستثمار التجارى و التطوير العقارى</v>
      </c>
      <c r="C161" s="18" t="str">
        <f>VLOOKUP(A161,Sheet1!C:F,2,0)</f>
        <v>كوبر للاستثمار التجارى و التطوير العقارى</v>
      </c>
      <c r="D161" s="18" t="s">
        <v>71</v>
      </c>
      <c r="E161" s="18">
        <f>VLOOKUP(C161,Sheet2!A:N,4,0)</f>
        <v>0.36199999999999999</v>
      </c>
      <c r="F161" s="18">
        <f>VLOOKUP(C161,Sheet2!A:N,5,0)</f>
        <v>0.36199999999999999</v>
      </c>
      <c r="G161" s="18">
        <f>VLOOKUP(C161,Sheet2!A:N,6,0)</f>
        <v>0.372</v>
      </c>
      <c r="H161" s="18">
        <f>VLOOKUP(C161,Sheet2!A:N,7,0)</f>
        <v>2.76</v>
      </c>
      <c r="I161" s="18">
        <f>VLOOKUP(C161,Sheet2!A:N,8,0)</f>
        <v>0.372</v>
      </c>
      <c r="J161" s="18">
        <f>VLOOKUP(C161,Sheet2!A:N,9,0)</f>
        <v>0.372</v>
      </c>
      <c r="K161" s="18">
        <f>VLOOKUP(C161,Sheet2!A:N,10,0)</f>
        <v>0.36</v>
      </c>
      <c r="L161" s="20">
        <f>VLOOKUP(C161,Sheet2!A:N,11,0)</f>
        <v>42797721.93</v>
      </c>
      <c r="M161" s="21">
        <f>VLOOKUP(C161,Sheet2!A:N,12,0)</f>
        <v>116523259</v>
      </c>
      <c r="N161" s="18">
        <f>VLOOKUP(C161,Sheet2!A:N,13,0)</f>
        <v>1071</v>
      </c>
      <c r="O161" s="21">
        <f>VLOOKUP(C161,Sheet2!A:N,14,0)</f>
        <v>587</v>
      </c>
    </row>
    <row r="162" spans="1:15" x14ac:dyDescent="0.25">
      <c r="A162" s="19" t="s">
        <v>314</v>
      </c>
      <c r="B162" s="18" t="str">
        <f t="shared" si="2"/>
        <v>مصر الجديدة للاسكان والتعمير</v>
      </c>
      <c r="C162" s="18" t="str">
        <f>VLOOKUP(A162,Sheet1!C:F,2,0)</f>
        <v>مصر الجديدة للاسكان والتعمير</v>
      </c>
      <c r="D162" s="18" t="s">
        <v>40</v>
      </c>
      <c r="E162" s="18">
        <f>VLOOKUP(C162,Sheet2!A:N,4,0)</f>
        <v>6.43</v>
      </c>
      <c r="F162" s="18">
        <f>VLOOKUP(C162,Sheet2!A:N,5,0)</f>
        <v>6.43</v>
      </c>
      <c r="G162" s="18">
        <f>VLOOKUP(C162,Sheet2!A:N,6,0)</f>
        <v>6.4</v>
      </c>
      <c r="H162" s="18">
        <f>VLOOKUP(C162,Sheet2!A:N,7,0)</f>
        <v>-0.47</v>
      </c>
      <c r="I162" s="18">
        <f>VLOOKUP(C162,Sheet2!A:N,8,0)</f>
        <v>6.4</v>
      </c>
      <c r="J162" s="18">
        <f>VLOOKUP(C162,Sheet2!A:N,9,0)</f>
        <v>6.5</v>
      </c>
      <c r="K162" s="18">
        <f>VLOOKUP(C162,Sheet2!A:N,10,0)</f>
        <v>6.34</v>
      </c>
      <c r="L162" s="20">
        <f>VLOOKUP(C162,Sheet2!A:N,11,0)</f>
        <v>124200221.98</v>
      </c>
      <c r="M162" s="21">
        <f>VLOOKUP(C162,Sheet2!A:N,12,0)</f>
        <v>19368737</v>
      </c>
      <c r="N162" s="18">
        <f>VLOOKUP(C162,Sheet2!A:N,13,0)</f>
        <v>1651</v>
      </c>
      <c r="O162" s="21">
        <f>VLOOKUP(C162,Sheet2!A:N,14,0)</f>
        <v>25634</v>
      </c>
    </row>
    <row r="163" spans="1:15" x14ac:dyDescent="0.25">
      <c r="A163" s="19" t="s">
        <v>480</v>
      </c>
      <c r="B163" s="18" t="str">
        <f t="shared" si="2"/>
        <v>العبور للاستثمار العقارى</v>
      </c>
      <c r="C163" s="18" t="str">
        <f>VLOOKUP(A163,Sheet1!C:F,2,0)</f>
        <v>العبور للاستثمار العقارى</v>
      </c>
      <c r="D163" s="18" t="s">
        <v>40</v>
      </c>
      <c r="E163" s="18">
        <f>VLOOKUP(C163,Sheet2!A:N,4,0)</f>
        <v>36.799999999999997</v>
      </c>
      <c r="F163" s="18">
        <f>VLOOKUP(C163,Sheet2!A:N,5,0)</f>
        <v>36.799999999999997</v>
      </c>
      <c r="G163" s="18">
        <f>VLOOKUP(C163,Sheet2!A:N,6,0)</f>
        <v>36.119999999999997</v>
      </c>
      <c r="H163" s="18">
        <f>VLOOKUP(C163,Sheet2!A:N,7,0)</f>
        <v>-1.85</v>
      </c>
      <c r="I163" s="18">
        <f>VLOOKUP(C163,Sheet2!A:N,8,0)</f>
        <v>36.119999999999997</v>
      </c>
      <c r="J163" s="18">
        <f>VLOOKUP(C163,Sheet2!A:N,9,0)</f>
        <v>36.99</v>
      </c>
      <c r="K163" s="18">
        <f>VLOOKUP(C163,Sheet2!A:N,10,0)</f>
        <v>36.07</v>
      </c>
      <c r="L163" s="20">
        <f>VLOOKUP(C163,Sheet2!A:N,11,0)</f>
        <v>8703589.1500000004</v>
      </c>
      <c r="M163" s="21">
        <f>VLOOKUP(C163,Sheet2!A:N,12,0)</f>
        <v>239542</v>
      </c>
      <c r="N163" s="18">
        <f>VLOOKUP(C163,Sheet2!A:N,13,0)</f>
        <v>419</v>
      </c>
      <c r="O163" s="21">
        <f>VLOOKUP(C163,Sheet2!A:N,14,0)</f>
        <v>1445</v>
      </c>
    </row>
    <row r="164" spans="1:15" x14ac:dyDescent="0.25">
      <c r="A164" s="19" t="s">
        <v>339</v>
      </c>
      <c r="B164" s="18" t="str">
        <f t="shared" si="2"/>
        <v>القاهره للإستثمار و التنمية العقاريه سيرا للتعليم</v>
      </c>
      <c r="C164" s="18" t="str">
        <f>VLOOKUP(A164,Sheet1!C:F,2,0)</f>
        <v>القاهره للإستثمار و التنمية العقاريه سيرا للتعليم</v>
      </c>
      <c r="D164" s="18" t="s">
        <v>77</v>
      </c>
      <c r="E164" s="18">
        <f>VLOOKUP(C164,Sheet2!A:N,4,0)</f>
        <v>26.81</v>
      </c>
      <c r="F164" s="18">
        <f>VLOOKUP(C164,Sheet2!A:N,5,0)</f>
        <v>26.81</v>
      </c>
      <c r="G164" s="18">
        <f>VLOOKUP(C164,Sheet2!A:N,6,0)</f>
        <v>26.3</v>
      </c>
      <c r="H164" s="18">
        <f>VLOOKUP(C164,Sheet2!A:N,7,0)</f>
        <v>-1.9</v>
      </c>
      <c r="I164" s="18">
        <f>VLOOKUP(C164,Sheet2!A:N,8,0)</f>
        <v>26.3</v>
      </c>
      <c r="J164" s="18">
        <f>VLOOKUP(C164,Sheet2!A:N,9,0)</f>
        <v>27.2</v>
      </c>
      <c r="K164" s="18">
        <f>VLOOKUP(C164,Sheet2!A:N,10,0)</f>
        <v>26</v>
      </c>
      <c r="L164" s="20">
        <f>VLOOKUP(C164,Sheet2!A:N,11,0)</f>
        <v>6069629.7000000002</v>
      </c>
      <c r="M164" s="21">
        <f>VLOOKUP(C164,Sheet2!A:N,12,0)</f>
        <v>230623</v>
      </c>
      <c r="N164" s="18">
        <f>VLOOKUP(C164,Sheet2!A:N,13,0)</f>
        <v>136</v>
      </c>
      <c r="O164" s="21">
        <f>VLOOKUP(C164,Sheet2!A:N,14,0)</f>
        <v>15327</v>
      </c>
    </row>
    <row r="165" spans="1:15" x14ac:dyDescent="0.25">
      <c r="A165" s="19" t="s">
        <v>552</v>
      </c>
      <c r="B165" s="18" t="str">
        <f t="shared" si="2"/>
        <v>السعودية المصرية للاستثمار والتمويل</v>
      </c>
      <c r="C165" s="18" t="str">
        <f>VLOOKUP(A165,Sheet1!C:F,2,0)</f>
        <v>السعودية المصرية للاستثمار والتمويل</v>
      </c>
      <c r="D165" s="18" t="s">
        <v>44</v>
      </c>
      <c r="E165" s="18">
        <f>VLOOKUP(C165,Sheet2!A:N,4,0)</f>
        <v>181.31</v>
      </c>
      <c r="F165" s="18">
        <f>VLOOKUP(C165,Sheet2!A:N,5,0)</f>
        <v>181.31</v>
      </c>
      <c r="G165" s="18">
        <f>VLOOKUP(C165,Sheet2!A:N,6,0)</f>
        <v>183.39</v>
      </c>
      <c r="H165" s="18">
        <f>VLOOKUP(C165,Sheet2!A:N,7,0)</f>
        <v>1.1499999999999999</v>
      </c>
      <c r="I165" s="18">
        <f>VLOOKUP(C165,Sheet2!A:N,8,0)</f>
        <v>183.39</v>
      </c>
      <c r="J165" s="18">
        <f>VLOOKUP(C165,Sheet2!A:N,9,0)</f>
        <v>184.7</v>
      </c>
      <c r="K165" s="18">
        <f>VLOOKUP(C165,Sheet2!A:N,10,0)</f>
        <v>181.35</v>
      </c>
      <c r="L165" s="20">
        <f>VLOOKUP(C165,Sheet2!A:N,11,0)</f>
        <v>1580838.8</v>
      </c>
      <c r="M165" s="21">
        <f>VLOOKUP(C165,Sheet2!A:N,12,0)</f>
        <v>8640</v>
      </c>
      <c r="N165" s="18">
        <f>VLOOKUP(C165,Sheet2!A:N,13,0)</f>
        <v>83</v>
      </c>
      <c r="O165" s="21">
        <f>VLOOKUP(C165,Sheet2!A:N,14,0)</f>
        <v>458</v>
      </c>
    </row>
    <row r="166" spans="1:15" x14ac:dyDescent="0.25">
      <c r="A166" s="19" t="s">
        <v>481</v>
      </c>
      <c r="B166" s="18" t="str">
        <f t="shared" si="2"/>
        <v>الملتقي العربي للاستثمارات</v>
      </c>
      <c r="C166" s="18" t="str">
        <f>VLOOKUP(A166,Sheet1!C:F,2,0)</f>
        <v>الملتقي العربي للاستثمارات</v>
      </c>
      <c r="D166" s="18" t="s">
        <v>44</v>
      </c>
      <c r="E166" s="18">
        <f>VLOOKUP(C166,Sheet2!A:N,4,0)</f>
        <v>9.23</v>
      </c>
      <c r="F166" s="18">
        <f>VLOOKUP(C166,Sheet2!A:N,5,0)</f>
        <v>9.23</v>
      </c>
      <c r="G166" s="18">
        <f>VLOOKUP(C166,Sheet2!A:N,6,0)</f>
        <v>9.15</v>
      </c>
      <c r="H166" s="18">
        <f>VLOOKUP(C166,Sheet2!A:N,7,0)</f>
        <v>-0.87</v>
      </c>
      <c r="I166" s="18">
        <f>VLOOKUP(C166,Sheet2!A:N,8,0)</f>
        <v>9.15</v>
      </c>
      <c r="J166" s="18">
        <f>VLOOKUP(C166,Sheet2!A:N,9,0)</f>
        <v>9.5</v>
      </c>
      <c r="K166" s="18">
        <f>VLOOKUP(C166,Sheet2!A:N,10,0)</f>
        <v>9.15</v>
      </c>
      <c r="L166" s="20">
        <f>VLOOKUP(C166,Sheet2!A:N,11,0)</f>
        <v>11365119.390000001</v>
      </c>
      <c r="M166" s="21">
        <f>VLOOKUP(C166,Sheet2!A:N,12,0)</f>
        <v>1228302</v>
      </c>
      <c r="N166" s="18">
        <f>VLOOKUP(C166,Sheet2!A:N,13,0)</f>
        <v>276</v>
      </c>
      <c r="O166" s="21">
        <f>VLOOKUP(C166,Sheet2!A:N,14,0)</f>
        <v>4672</v>
      </c>
    </row>
    <row r="167" spans="1:15" x14ac:dyDescent="0.25">
      <c r="A167" s="19" t="s">
        <v>482</v>
      </c>
      <c r="B167" s="18" t="str">
        <f t="shared" si="2"/>
        <v>الاسكندريه الوطنيه للاستثمارات الماليه</v>
      </c>
      <c r="C167" s="18" t="str">
        <f>VLOOKUP(A167,Sheet1!C:F,2,0)</f>
        <v>الاسكندريه الوطنيه للاستثمارات الماليه</v>
      </c>
      <c r="D167" s="18" t="s">
        <v>44</v>
      </c>
      <c r="E167" s="18" t="e">
        <f>VLOOKUP(C167,Sheet2!A:N,4,0)</f>
        <v>#N/A</v>
      </c>
      <c r="F167" s="18" t="e">
        <f>VLOOKUP(C167,Sheet2!A:N,5,0)</f>
        <v>#N/A</v>
      </c>
      <c r="G167" s="18" t="e">
        <f>VLOOKUP(C167,Sheet2!A:N,6,0)</f>
        <v>#N/A</v>
      </c>
      <c r="H167" s="18" t="e">
        <f>VLOOKUP(C167,Sheet2!A:N,7,0)</f>
        <v>#N/A</v>
      </c>
      <c r="I167" s="18" t="e">
        <f>VLOOKUP(C167,Sheet2!A:N,8,0)</f>
        <v>#N/A</v>
      </c>
      <c r="J167" s="18" t="e">
        <f>VLOOKUP(C167,Sheet2!A:N,9,0)</f>
        <v>#N/A</v>
      </c>
      <c r="K167" s="18" t="e">
        <f>VLOOKUP(C167,Sheet2!A:N,10,0)</f>
        <v>#N/A</v>
      </c>
      <c r="L167" s="20" t="e">
        <f>VLOOKUP(C167,Sheet2!A:N,11,0)</f>
        <v>#N/A</v>
      </c>
      <c r="M167" s="21" t="e">
        <f>VLOOKUP(C167,Sheet2!A:N,12,0)</f>
        <v>#N/A</v>
      </c>
      <c r="N167" s="18" t="e">
        <f>VLOOKUP(C167,Sheet2!A:N,13,0)</f>
        <v>#N/A</v>
      </c>
      <c r="O167" s="21" t="e">
        <f>VLOOKUP(C167,Sheet2!A:N,14,0)</f>
        <v>#N/A</v>
      </c>
    </row>
    <row r="168" spans="1:15" x14ac:dyDescent="0.25">
      <c r="A168" s="19" t="s">
        <v>270</v>
      </c>
      <c r="B168" s="18" t="str">
        <f t="shared" si="2"/>
        <v>الحديد والصلب المصرية</v>
      </c>
      <c r="C168" s="18" t="str">
        <f>VLOOKUP(A168,Sheet1!C:F,2,0)</f>
        <v>الحديد والصلب المصرية</v>
      </c>
      <c r="D168" s="18" t="s">
        <v>61</v>
      </c>
      <c r="E168" s="18">
        <f>VLOOKUP(C168,Sheet2!A:N,4,0)</f>
        <v>32.04</v>
      </c>
      <c r="F168" s="18">
        <f>VLOOKUP(C168,Sheet2!A:N,5,0)</f>
        <v>32.04</v>
      </c>
      <c r="G168" s="18">
        <f>VLOOKUP(C168,Sheet2!A:N,6,0)</f>
        <v>32.56</v>
      </c>
      <c r="H168" s="18">
        <f>VLOOKUP(C168,Sheet2!A:N,7,0)</f>
        <v>1.62</v>
      </c>
      <c r="I168" s="18">
        <f>VLOOKUP(C168,Sheet2!A:N,8,0)</f>
        <v>32.56</v>
      </c>
      <c r="J168" s="18">
        <f>VLOOKUP(C168,Sheet2!A:N,9,0)</f>
        <v>33.4</v>
      </c>
      <c r="K168" s="18">
        <f>VLOOKUP(C168,Sheet2!A:N,10,0)</f>
        <v>32.049999999999997</v>
      </c>
      <c r="L168" s="20">
        <f>VLOOKUP(C168,Sheet2!A:N,11,0)</f>
        <v>12031043.560000001</v>
      </c>
      <c r="M168" s="21">
        <f>VLOOKUP(C168,Sheet2!A:N,12,0)</f>
        <v>365112</v>
      </c>
      <c r="N168" s="18">
        <f>VLOOKUP(C168,Sheet2!A:N,13,0)</f>
        <v>581</v>
      </c>
      <c r="O168" s="21">
        <f>VLOOKUP(C168,Sheet2!A:N,14,0)</f>
        <v>31807</v>
      </c>
    </row>
    <row r="169" spans="1:15" x14ac:dyDescent="0.25">
      <c r="A169" s="19" t="s">
        <v>557</v>
      </c>
      <c r="B169" s="18" t="str">
        <f t="shared" si="2"/>
        <v>الالومنيوم العربية</v>
      </c>
      <c r="C169" s="18" t="str">
        <f>VLOOKUP(A169,Sheet1!C:F,2,0)</f>
        <v>الالومنيوم العربية</v>
      </c>
      <c r="D169" s="18" t="s">
        <v>61</v>
      </c>
      <c r="E169" s="18">
        <f>VLOOKUP(C169,Sheet2!A:N,4,0)</f>
        <v>23.55</v>
      </c>
      <c r="F169" s="18">
        <f>VLOOKUP(C169,Sheet2!A:N,5,0)</f>
        <v>23.55</v>
      </c>
      <c r="G169" s="18">
        <f>VLOOKUP(C169,Sheet2!A:N,6,0)</f>
        <v>23.08</v>
      </c>
      <c r="H169" s="18">
        <f>VLOOKUP(C169,Sheet2!A:N,7,0)</f>
        <v>-2</v>
      </c>
      <c r="I169" s="18">
        <f>VLOOKUP(C169,Sheet2!A:N,8,0)</f>
        <v>23.08</v>
      </c>
      <c r="J169" s="18">
        <f>VLOOKUP(C169,Sheet2!A:N,9,0)</f>
        <v>23.9</v>
      </c>
      <c r="K169" s="18">
        <f>VLOOKUP(C169,Sheet2!A:N,10,0)</f>
        <v>23.02</v>
      </c>
      <c r="L169" s="20">
        <f>VLOOKUP(C169,Sheet2!A:N,11,0)</f>
        <v>5703352.1699999999</v>
      </c>
      <c r="M169" s="21">
        <f>VLOOKUP(C169,Sheet2!A:N,12,0)</f>
        <v>245149</v>
      </c>
      <c r="N169" s="18">
        <f>VLOOKUP(C169,Sheet2!A:N,13,0)</f>
        <v>417</v>
      </c>
      <c r="O169" s="21">
        <f>VLOOKUP(C169,Sheet2!A:N,14,0)</f>
        <v>978</v>
      </c>
    </row>
    <row r="170" spans="1:15" x14ac:dyDescent="0.25">
      <c r="A170" s="19" t="s">
        <v>363</v>
      </c>
      <c r="B170" s="18" t="str">
        <f t="shared" si="2"/>
        <v>الصناعات الغذائية العربية-دومتى</v>
      </c>
      <c r="C170" s="18" t="str">
        <f>VLOOKUP(A170,Sheet1!C:F,2,0)</f>
        <v>الصناعات الغذائية العربية-دومتى</v>
      </c>
      <c r="D170" s="18" t="s">
        <v>48</v>
      </c>
      <c r="E170" s="18">
        <f>VLOOKUP(C170,Sheet2!A:N,4,0)</f>
        <v>24.35</v>
      </c>
      <c r="F170" s="18">
        <f>VLOOKUP(C170,Sheet2!A:N,5,0)</f>
        <v>24.35</v>
      </c>
      <c r="G170" s="18">
        <f>VLOOKUP(C170,Sheet2!A:N,6,0)</f>
        <v>24.47</v>
      </c>
      <c r="H170" s="18">
        <f>VLOOKUP(C170,Sheet2!A:N,7,0)</f>
        <v>0.49</v>
      </c>
      <c r="I170" s="18">
        <f>VLOOKUP(C170,Sheet2!A:N,8,0)</f>
        <v>24.47</v>
      </c>
      <c r="J170" s="18">
        <f>VLOOKUP(C170,Sheet2!A:N,9,0)</f>
        <v>24.5</v>
      </c>
      <c r="K170" s="18">
        <f>VLOOKUP(C170,Sheet2!A:N,10,0)</f>
        <v>24.26</v>
      </c>
      <c r="L170" s="20">
        <f>VLOOKUP(C170,Sheet2!A:N,11,0)</f>
        <v>643355.74</v>
      </c>
      <c r="M170" s="21">
        <f>VLOOKUP(C170,Sheet2!A:N,12,0)</f>
        <v>26332</v>
      </c>
      <c r="N170" s="18">
        <f>VLOOKUP(C170,Sheet2!A:N,13,0)</f>
        <v>63</v>
      </c>
      <c r="O170" s="21">
        <f>VLOOKUP(C170,Sheet2!A:N,14,0)</f>
        <v>6915</v>
      </c>
    </row>
    <row r="171" spans="1:15" x14ac:dyDescent="0.25">
      <c r="A171" s="19" t="s">
        <v>366</v>
      </c>
      <c r="B171" s="18" t="str">
        <f t="shared" si="2"/>
        <v>الاسكندرية للخدمات الطبية - المركز الطبى الجديد - الاسكندرية</v>
      </c>
      <c r="C171" s="18" t="str">
        <f>VLOOKUP(A171,Sheet1!C:F,2,0)</f>
        <v>الاسكندرية للخدمات الطبية - المركز الطبى الجديد - الاسكندرية</v>
      </c>
      <c r="D171" s="18" t="s">
        <v>51</v>
      </c>
      <c r="E171" s="18">
        <f>VLOOKUP(C171,Sheet2!A:N,4,0)</f>
        <v>48.88</v>
      </c>
      <c r="F171" s="18">
        <f>VLOOKUP(C171,Sheet2!A:N,5,0)</f>
        <v>48.88</v>
      </c>
      <c r="G171" s="18">
        <f>VLOOKUP(C171,Sheet2!A:N,6,0)</f>
        <v>48.9</v>
      </c>
      <c r="H171" s="18">
        <f>VLOOKUP(C171,Sheet2!A:N,7,0)</f>
        <v>0.04</v>
      </c>
      <c r="I171" s="18">
        <f>VLOOKUP(C171,Sheet2!A:N,8,0)</f>
        <v>48.9</v>
      </c>
      <c r="J171" s="18">
        <f>VLOOKUP(C171,Sheet2!A:N,9,0)</f>
        <v>49.3</v>
      </c>
      <c r="K171" s="18">
        <f>VLOOKUP(C171,Sheet2!A:N,10,0)</f>
        <v>48.6</v>
      </c>
      <c r="L171" s="20">
        <f>VLOOKUP(C171,Sheet2!A:N,11,0)</f>
        <v>405761.79</v>
      </c>
      <c r="M171" s="21">
        <f>VLOOKUP(C171,Sheet2!A:N,12,0)</f>
        <v>8304</v>
      </c>
      <c r="N171" s="18">
        <f>VLOOKUP(C171,Sheet2!A:N,13,0)</f>
        <v>97</v>
      </c>
      <c r="O171" s="21">
        <f>VLOOKUP(C171,Sheet2!A:N,14,0)</f>
        <v>6092</v>
      </c>
    </row>
    <row r="172" spans="1:15" x14ac:dyDescent="0.25">
      <c r="A172" s="19" t="s">
        <v>558</v>
      </c>
      <c r="B172" s="18" t="str">
        <f t="shared" si="2"/>
        <v>القاهرة للخدمات التعليمية</v>
      </c>
      <c r="C172" s="18" t="str">
        <f>VLOOKUP(A172,Sheet1!C:F,2,0)</f>
        <v>القاهرة للخدمات التعليمية</v>
      </c>
      <c r="D172" s="18" t="s">
        <v>77</v>
      </c>
      <c r="E172" s="18">
        <f>VLOOKUP(C172,Sheet2!A:N,4,0)</f>
        <v>71.040000000000006</v>
      </c>
      <c r="F172" s="18">
        <f>VLOOKUP(C172,Sheet2!A:N,5,0)</f>
        <v>71.040000000000006</v>
      </c>
      <c r="G172" s="18">
        <f>VLOOKUP(C172,Sheet2!A:N,6,0)</f>
        <v>70.8</v>
      </c>
      <c r="H172" s="18">
        <f>VLOOKUP(C172,Sheet2!A:N,7,0)</f>
        <v>-0.34</v>
      </c>
      <c r="I172" s="18">
        <f>VLOOKUP(C172,Sheet2!A:N,8,0)</f>
        <v>70.02</v>
      </c>
      <c r="J172" s="18">
        <f>VLOOKUP(C172,Sheet2!A:N,9,0)</f>
        <v>71.8</v>
      </c>
      <c r="K172" s="18">
        <f>VLOOKUP(C172,Sheet2!A:N,10,0)</f>
        <v>69.92</v>
      </c>
      <c r="L172" s="20">
        <f>VLOOKUP(C172,Sheet2!A:N,11,0)</f>
        <v>1246551.6299999999</v>
      </c>
      <c r="M172" s="21">
        <f>VLOOKUP(C172,Sheet2!A:N,12,0)</f>
        <v>17673</v>
      </c>
      <c r="N172" s="18">
        <f>VLOOKUP(C172,Sheet2!A:N,13,0)</f>
        <v>103</v>
      </c>
      <c r="O172" s="21">
        <f>VLOOKUP(C172,Sheet2!A:N,14,0)</f>
        <v>850</v>
      </c>
    </row>
    <row r="173" spans="1:15" x14ac:dyDescent="0.25">
      <c r="A173" s="19" t="s">
        <v>560</v>
      </c>
      <c r="B173" s="18" t="str">
        <f t="shared" si="2"/>
        <v>شمال الصعيد للتنمية والانتاج الزراعى (نيوداب)</v>
      </c>
      <c r="C173" s="18" t="str">
        <f>VLOOKUP(A173,Sheet1!C:F,2,0)</f>
        <v>شمال الصعيد للتنمية والانتاج الزراعى (نيوداب)</v>
      </c>
      <c r="D173" s="18" t="s">
        <v>48</v>
      </c>
      <c r="E173" s="18">
        <f>VLOOKUP(C173,Sheet2!A:N,4,0)</f>
        <v>2.75</v>
      </c>
      <c r="F173" s="18">
        <f>VLOOKUP(C173,Sheet2!A:N,5,0)</f>
        <v>2.75</v>
      </c>
      <c r="G173" s="18">
        <f>VLOOKUP(C173,Sheet2!A:N,6,0)</f>
        <v>2.81</v>
      </c>
      <c r="H173" s="18">
        <f>VLOOKUP(C173,Sheet2!A:N,7,0)</f>
        <v>2.1800000000000002</v>
      </c>
      <c r="I173" s="18">
        <f>VLOOKUP(C173,Sheet2!A:N,8,0)</f>
        <v>2.81</v>
      </c>
      <c r="J173" s="18">
        <f>VLOOKUP(C173,Sheet2!A:N,9,0)</f>
        <v>2.82</v>
      </c>
      <c r="K173" s="18">
        <f>VLOOKUP(C173,Sheet2!A:N,10,0)</f>
        <v>2.78</v>
      </c>
      <c r="L173" s="20">
        <f>VLOOKUP(C173,Sheet2!A:N,11,0)</f>
        <v>379562.51</v>
      </c>
      <c r="M173" s="21">
        <f>VLOOKUP(C173,Sheet2!A:N,12,0)</f>
        <v>135160</v>
      </c>
      <c r="N173" s="18">
        <f>VLOOKUP(C173,Sheet2!A:N,13,0)</f>
        <v>41</v>
      </c>
      <c r="O173" s="21">
        <f>VLOOKUP(C173,Sheet2!A:N,14,0)</f>
        <v>178</v>
      </c>
    </row>
    <row r="174" spans="1:15" x14ac:dyDescent="0.25">
      <c r="A174" s="19" t="s">
        <v>561</v>
      </c>
      <c r="B174" s="18" t="str">
        <f t="shared" si="2"/>
        <v>مصر للاسواق الحرة</v>
      </c>
      <c r="C174" s="18" t="str">
        <f>VLOOKUP(A174,Sheet1!C:F,2,0)</f>
        <v>مصر للاسواق الحرة</v>
      </c>
      <c r="D174" s="18" t="s">
        <v>54</v>
      </c>
      <c r="E174" s="18">
        <f>VLOOKUP(C174,Sheet2!A:N,4,0)</f>
        <v>45.52</v>
      </c>
      <c r="F174" s="18">
        <f>VLOOKUP(C174,Sheet2!A:N,5,0)</f>
        <v>45.52</v>
      </c>
      <c r="G174" s="18">
        <f>VLOOKUP(C174,Sheet2!A:N,6,0)</f>
        <v>44.58</v>
      </c>
      <c r="H174" s="18">
        <f>VLOOKUP(C174,Sheet2!A:N,7,0)</f>
        <v>-2.0699999999999998</v>
      </c>
      <c r="I174" s="18">
        <f>VLOOKUP(C174,Sheet2!A:N,8,0)</f>
        <v>44.58</v>
      </c>
      <c r="J174" s="18">
        <f>VLOOKUP(C174,Sheet2!A:N,9,0)</f>
        <v>46.3</v>
      </c>
      <c r="K174" s="18">
        <f>VLOOKUP(C174,Sheet2!A:N,10,0)</f>
        <v>44</v>
      </c>
      <c r="L174" s="20">
        <f>VLOOKUP(C174,Sheet2!A:N,11,0)</f>
        <v>2136019.1</v>
      </c>
      <c r="M174" s="21">
        <f>VLOOKUP(C174,Sheet2!A:N,12,0)</f>
        <v>47843</v>
      </c>
      <c r="N174" s="18">
        <f>VLOOKUP(C174,Sheet2!A:N,13,0)</f>
        <v>172</v>
      </c>
      <c r="O174" s="21">
        <f>VLOOKUP(C174,Sheet2!A:N,14,0)</f>
        <v>4179</v>
      </c>
    </row>
    <row r="175" spans="1:15" x14ac:dyDescent="0.25">
      <c r="A175" s="19" t="s">
        <v>278</v>
      </c>
      <c r="B175" s="18" t="str">
        <f t="shared" si="2"/>
        <v>بنك كريدي اجريكول مصر</v>
      </c>
      <c r="C175" s="18" t="str">
        <f>VLOOKUP(A175,Sheet1!C:F,2,0)</f>
        <v>بنك كريدي اجريكول مصر</v>
      </c>
      <c r="D175" s="18" t="s">
        <v>49</v>
      </c>
      <c r="E175" s="18">
        <f>VLOOKUP(C175,Sheet2!A:N,4,0)</f>
        <v>23.48</v>
      </c>
      <c r="F175" s="18">
        <f>VLOOKUP(C175,Sheet2!A:N,5,0)</f>
        <v>23.48</v>
      </c>
      <c r="G175" s="18">
        <f>VLOOKUP(C175,Sheet2!A:N,6,0)</f>
        <v>23.9</v>
      </c>
      <c r="H175" s="18">
        <f>VLOOKUP(C175,Sheet2!A:N,7,0)</f>
        <v>1.79</v>
      </c>
      <c r="I175" s="18">
        <f>VLOOKUP(C175,Sheet2!A:N,8,0)</f>
        <v>23.9</v>
      </c>
      <c r="J175" s="18">
        <f>VLOOKUP(C175,Sheet2!A:N,9,0)</f>
        <v>23.9</v>
      </c>
      <c r="K175" s="18">
        <f>VLOOKUP(C175,Sheet2!A:N,10,0)</f>
        <v>23.45</v>
      </c>
      <c r="L175" s="20">
        <f>VLOOKUP(C175,Sheet2!A:N,11,0)</f>
        <v>8949406.1300000008</v>
      </c>
      <c r="M175" s="21">
        <f>VLOOKUP(C175,Sheet2!A:N,12,0)</f>
        <v>378206</v>
      </c>
      <c r="N175" s="18">
        <f>VLOOKUP(C175,Sheet2!A:N,13,0)</f>
        <v>404</v>
      </c>
      <c r="O175" s="21">
        <f>VLOOKUP(C175,Sheet2!A:N,14,0)</f>
        <v>29875</v>
      </c>
    </row>
    <row r="176" spans="1:15" x14ac:dyDescent="0.25">
      <c r="A176" s="19" t="s">
        <v>387</v>
      </c>
      <c r="B176" s="18" t="str">
        <f t="shared" si="2"/>
        <v>الصناعات الهندسية المعمارية للانشاء والتعمير - ايكون</v>
      </c>
      <c r="C176" s="18" t="str">
        <f>VLOOKUP(A176,Sheet1!C:F,2,0)</f>
        <v>الصناعات الهندسية المعمارية للانشاء والتعمير - ايكون</v>
      </c>
      <c r="D176" s="18" t="s">
        <v>71</v>
      </c>
      <c r="E176" s="18">
        <f>VLOOKUP(C176,Sheet2!A:N,4,0)</f>
        <v>35.94</v>
      </c>
      <c r="F176" s="18">
        <f>VLOOKUP(C176,Sheet2!A:N,5,0)</f>
        <v>35.94</v>
      </c>
      <c r="G176" s="18">
        <f>VLOOKUP(C176,Sheet2!A:N,6,0)</f>
        <v>35.700000000000003</v>
      </c>
      <c r="H176" s="18">
        <f>VLOOKUP(C176,Sheet2!A:N,7,0)</f>
        <v>-0.67</v>
      </c>
      <c r="I176" s="18">
        <f>VLOOKUP(C176,Sheet2!A:N,8,0)</f>
        <v>35.700000000000003</v>
      </c>
      <c r="J176" s="18">
        <f>VLOOKUP(C176,Sheet2!A:N,9,0)</f>
        <v>36.46</v>
      </c>
      <c r="K176" s="18">
        <f>VLOOKUP(C176,Sheet2!A:N,10,0)</f>
        <v>35.700000000000003</v>
      </c>
      <c r="L176" s="20">
        <f>VLOOKUP(C176,Sheet2!A:N,11,0)</f>
        <v>7793410.1900000004</v>
      </c>
      <c r="M176" s="21">
        <f>VLOOKUP(C176,Sheet2!A:N,12,0)</f>
        <v>216897</v>
      </c>
      <c r="N176" s="18">
        <f>VLOOKUP(C176,Sheet2!A:N,13,0)</f>
        <v>319</v>
      </c>
      <c r="O176" s="21">
        <f>VLOOKUP(C176,Sheet2!A:N,14,0)</f>
        <v>5194</v>
      </c>
    </row>
    <row r="177" spans="1:15" x14ac:dyDescent="0.25">
      <c r="A177" s="19" t="s">
        <v>347</v>
      </c>
      <c r="B177" s="18" t="str">
        <f t="shared" si="2"/>
        <v>القناة للتوكيلات الملاحية</v>
      </c>
      <c r="C177" s="18" t="str">
        <f>VLOOKUP(A177,Sheet1!C:F,2,0)</f>
        <v>القناة للتوكيلات الملاحية</v>
      </c>
      <c r="D177" s="18" t="s">
        <v>111</v>
      </c>
      <c r="E177" s="18">
        <f>VLOOKUP(C177,Sheet2!A:N,4,0)</f>
        <v>31.39</v>
      </c>
      <c r="F177" s="18">
        <f>VLOOKUP(C177,Sheet2!A:N,5,0)</f>
        <v>31.39</v>
      </c>
      <c r="G177" s="18">
        <f>VLOOKUP(C177,Sheet2!A:N,6,0)</f>
        <v>31.36</v>
      </c>
      <c r="H177" s="18">
        <f>VLOOKUP(C177,Sheet2!A:N,7,0)</f>
        <v>-0.1</v>
      </c>
      <c r="I177" s="18">
        <f>VLOOKUP(C177,Sheet2!A:N,8,0)</f>
        <v>31.36</v>
      </c>
      <c r="J177" s="18">
        <f>VLOOKUP(C177,Sheet2!A:N,9,0)</f>
        <v>31.59</v>
      </c>
      <c r="K177" s="18">
        <f>VLOOKUP(C177,Sheet2!A:N,10,0)</f>
        <v>31.12</v>
      </c>
      <c r="L177" s="20">
        <f>VLOOKUP(C177,Sheet2!A:N,11,0)</f>
        <v>5899817</v>
      </c>
      <c r="M177" s="21">
        <f>VLOOKUP(C177,Sheet2!A:N,12,0)</f>
        <v>188456</v>
      </c>
      <c r="N177" s="18">
        <f>VLOOKUP(C177,Sheet2!A:N,13,0)</f>
        <v>264</v>
      </c>
      <c r="O177" s="21">
        <f>VLOOKUP(C177,Sheet2!A:N,14,0)</f>
        <v>9408</v>
      </c>
    </row>
    <row r="178" spans="1:15" x14ac:dyDescent="0.25">
      <c r="A178" s="19" t="s">
        <v>241</v>
      </c>
      <c r="B178" s="18" t="str">
        <f t="shared" si="2"/>
        <v>المصرية للاتصالات</v>
      </c>
      <c r="C178" s="18" t="str">
        <f>VLOOKUP(A178,Sheet1!C:F,2,0)</f>
        <v>المصرية للاتصالات</v>
      </c>
      <c r="D178" s="18" t="s">
        <v>59</v>
      </c>
      <c r="E178" s="18">
        <f>VLOOKUP(C178,Sheet2!A:N,4,0)</f>
        <v>93</v>
      </c>
      <c r="F178" s="18">
        <f>VLOOKUP(C178,Sheet2!A:N,5,0)</f>
        <v>93</v>
      </c>
      <c r="G178" s="18">
        <f>VLOOKUP(C178,Sheet2!A:N,6,0)</f>
        <v>93</v>
      </c>
      <c r="H178" s="18">
        <f>VLOOKUP(C178,Sheet2!A:N,7,0)</f>
        <v>0</v>
      </c>
      <c r="I178" s="18">
        <f>VLOOKUP(C178,Sheet2!A:N,8,0)</f>
        <v>93</v>
      </c>
      <c r="J178" s="18">
        <f>VLOOKUP(C178,Sheet2!A:N,9,0)</f>
        <v>93.7</v>
      </c>
      <c r="K178" s="18">
        <f>VLOOKUP(C178,Sheet2!A:N,10,0)</f>
        <v>92.31</v>
      </c>
      <c r="L178" s="20">
        <f>VLOOKUP(C178,Sheet2!A:N,11,0)</f>
        <v>73687533.780000001</v>
      </c>
      <c r="M178" s="21">
        <f>VLOOKUP(C178,Sheet2!A:N,12,0)</f>
        <v>793263</v>
      </c>
      <c r="N178" s="18">
        <f>VLOOKUP(C178,Sheet2!A:N,13,0)</f>
        <v>2642</v>
      </c>
      <c r="O178" s="21">
        <f>VLOOKUP(C178,Sheet2!A:N,14,0)</f>
        <v>158758</v>
      </c>
    </row>
    <row r="179" spans="1:15" x14ac:dyDescent="0.25">
      <c r="A179" s="19" t="s">
        <v>419</v>
      </c>
      <c r="B179" s="18" t="str">
        <f t="shared" si="2"/>
        <v>راية لخدمات مراكز الاتصالات</v>
      </c>
      <c r="C179" s="18" t="str">
        <f>VLOOKUP(A179,Sheet1!C:F,2,0)</f>
        <v>راية لخدمات مراكز الاتصالات</v>
      </c>
      <c r="D179" s="18" t="s">
        <v>59</v>
      </c>
      <c r="E179" s="18">
        <f>VLOOKUP(C179,Sheet2!A:N,4,0)</f>
        <v>9.68</v>
      </c>
      <c r="F179" s="18">
        <f>VLOOKUP(C179,Sheet2!A:N,5,0)</f>
        <v>9.68</v>
      </c>
      <c r="G179" s="18">
        <f>VLOOKUP(C179,Sheet2!A:N,6,0)</f>
        <v>9.69</v>
      </c>
      <c r="H179" s="18">
        <f>VLOOKUP(C179,Sheet2!A:N,7,0)</f>
        <v>0.1</v>
      </c>
      <c r="I179" s="18">
        <f>VLOOKUP(C179,Sheet2!A:N,8,0)</f>
        <v>9.69</v>
      </c>
      <c r="J179" s="18">
        <f>VLOOKUP(C179,Sheet2!A:N,9,0)</f>
        <v>9.86</v>
      </c>
      <c r="K179" s="18">
        <f>VLOOKUP(C179,Sheet2!A:N,10,0)</f>
        <v>9.69</v>
      </c>
      <c r="L179" s="20">
        <f>VLOOKUP(C179,Sheet2!A:N,11,0)</f>
        <v>4075798.47</v>
      </c>
      <c r="M179" s="21">
        <f>VLOOKUP(C179,Sheet2!A:N,12,0)</f>
        <v>417281</v>
      </c>
      <c r="N179" s="18">
        <f>VLOOKUP(C179,Sheet2!A:N,13,0)</f>
        <v>328</v>
      </c>
      <c r="O179" s="21">
        <f>VLOOKUP(C179,Sheet2!A:N,14,0)</f>
        <v>1930</v>
      </c>
    </row>
    <row r="180" spans="1:15" x14ac:dyDescent="0.25">
      <c r="A180" s="19" t="s">
        <v>563</v>
      </c>
      <c r="B180" s="18" t="str">
        <f t="shared" si="2"/>
        <v>A.T.LEASEالتوفيق للتأجير التمويلي -أية.تي.ليس</v>
      </c>
      <c r="C180" s="18" t="str">
        <f>VLOOKUP(A180,Sheet1!C:F,2,0)</f>
        <v>A.T.LEASEالتوفيق للتأجير التمويلي -أية.تي.ليس</v>
      </c>
      <c r="D180" s="18" t="s">
        <v>44</v>
      </c>
      <c r="E180" s="18">
        <f>VLOOKUP(C180,Sheet2!A:N,4,0)</f>
        <v>5.2</v>
      </c>
      <c r="F180" s="18">
        <f>VLOOKUP(C180,Sheet2!A:N,5,0)</f>
        <v>5.2</v>
      </c>
      <c r="G180" s="18">
        <f>VLOOKUP(C180,Sheet2!A:N,6,0)</f>
        <v>5.16</v>
      </c>
      <c r="H180" s="18">
        <f>VLOOKUP(C180,Sheet2!A:N,7,0)</f>
        <v>-0.77</v>
      </c>
      <c r="I180" s="18">
        <f>VLOOKUP(C180,Sheet2!A:N,8,0)</f>
        <v>5.16</v>
      </c>
      <c r="J180" s="18">
        <f>VLOOKUP(C180,Sheet2!A:N,9,0)</f>
        <v>5.23</v>
      </c>
      <c r="K180" s="18">
        <f>VLOOKUP(C180,Sheet2!A:N,10,0)</f>
        <v>5.09</v>
      </c>
      <c r="L180" s="20">
        <f>VLOOKUP(C180,Sheet2!A:N,11,0)</f>
        <v>5419133.2000000002</v>
      </c>
      <c r="M180" s="21">
        <f>VLOOKUP(C180,Sheet2!A:N,12,0)</f>
        <v>1051257</v>
      </c>
      <c r="N180" s="18">
        <f>VLOOKUP(C180,Sheet2!A:N,13,0)</f>
        <v>264</v>
      </c>
      <c r="O180" s="21">
        <f>VLOOKUP(C180,Sheet2!A:N,14,0)</f>
        <v>2064</v>
      </c>
    </row>
    <row r="181" spans="1:15" x14ac:dyDescent="0.25">
      <c r="A181" s="19" t="s">
        <v>260</v>
      </c>
      <c r="B181" s="18" t="str">
        <f t="shared" si="2"/>
        <v>إعمار مصر للتنمية</v>
      </c>
      <c r="C181" s="18" t="str">
        <f>VLOOKUP(A181,Sheet1!C:F,2,0)</f>
        <v>إعمار مصر للتنمية</v>
      </c>
      <c r="D181" s="18" t="s">
        <v>40</v>
      </c>
      <c r="E181" s="18">
        <f>VLOOKUP(C181,Sheet2!A:N,4,0)</f>
        <v>12.34</v>
      </c>
      <c r="F181" s="18">
        <f>VLOOKUP(C181,Sheet2!A:N,5,0)</f>
        <v>12.34</v>
      </c>
      <c r="G181" s="18">
        <f>VLOOKUP(C181,Sheet2!A:N,6,0)</f>
        <v>12.5</v>
      </c>
      <c r="H181" s="18">
        <f>VLOOKUP(C181,Sheet2!A:N,7,0)</f>
        <v>1.3</v>
      </c>
      <c r="I181" s="18">
        <f>VLOOKUP(C181,Sheet2!A:N,8,0)</f>
        <v>12.5</v>
      </c>
      <c r="J181" s="18">
        <f>VLOOKUP(C181,Sheet2!A:N,9,0)</f>
        <v>12.5</v>
      </c>
      <c r="K181" s="18">
        <f>VLOOKUP(C181,Sheet2!A:N,10,0)</f>
        <v>12.2</v>
      </c>
      <c r="L181" s="20">
        <f>VLOOKUP(C181,Sheet2!A:N,11,0)</f>
        <v>306361464.36000001</v>
      </c>
      <c r="M181" s="21">
        <f>VLOOKUP(C181,Sheet2!A:N,12,0)</f>
        <v>24725593</v>
      </c>
      <c r="N181" s="18">
        <f>VLOOKUP(C181,Sheet2!A:N,13,0)</f>
        <v>1911</v>
      </c>
      <c r="O181" s="21">
        <f>VLOOKUP(C181,Sheet2!A:N,14,0)</f>
        <v>68087</v>
      </c>
    </row>
    <row r="182" spans="1:15" x14ac:dyDescent="0.25">
      <c r="A182" s="19" t="s">
        <v>245</v>
      </c>
      <c r="B182" s="18" t="str">
        <f t="shared" si="2"/>
        <v>مصر لإنتاج الأسمدة - موبكو</v>
      </c>
      <c r="C182" s="18" t="str">
        <f>VLOOKUP(A182,Sheet1!C:F,2,0)</f>
        <v>مصر لإنتاج الأسمدة - موبكو</v>
      </c>
      <c r="D182" s="18" t="s">
        <v>61</v>
      </c>
      <c r="E182" s="18">
        <f>VLOOKUP(C182,Sheet2!A:N,4,0)</f>
        <v>37.4</v>
      </c>
      <c r="F182" s="18">
        <f>VLOOKUP(C182,Sheet2!A:N,5,0)</f>
        <v>37.4</v>
      </c>
      <c r="G182" s="18">
        <f>VLOOKUP(C182,Sheet2!A:N,6,0)</f>
        <v>37.17</v>
      </c>
      <c r="H182" s="18">
        <f>VLOOKUP(C182,Sheet2!A:N,7,0)</f>
        <v>-0.61</v>
      </c>
      <c r="I182" s="18">
        <f>VLOOKUP(C182,Sheet2!A:N,8,0)</f>
        <v>37.17</v>
      </c>
      <c r="J182" s="18">
        <f>VLOOKUP(C182,Sheet2!A:N,9,0)</f>
        <v>37.700000000000003</v>
      </c>
      <c r="K182" s="18">
        <f>VLOOKUP(C182,Sheet2!A:N,10,0)</f>
        <v>37.020000000000003</v>
      </c>
      <c r="L182" s="20">
        <f>VLOOKUP(C182,Sheet2!A:N,11,0)</f>
        <v>84989952.189999998</v>
      </c>
      <c r="M182" s="21">
        <f>VLOOKUP(C182,Sheet2!A:N,12,0)</f>
        <v>2285196</v>
      </c>
      <c r="N182" s="18">
        <f>VLOOKUP(C182,Sheet2!A:N,13,0)</f>
        <v>3151</v>
      </c>
      <c r="O182" s="21">
        <f>VLOOKUP(C182,Sheet2!A:N,14,0)</f>
        <v>106609</v>
      </c>
    </row>
    <row r="183" spans="1:15" x14ac:dyDescent="0.25">
      <c r="A183" s="19" t="s">
        <v>564</v>
      </c>
      <c r="B183" s="18" t="str">
        <f t="shared" si="2"/>
        <v>المطورون العرب القابضة</v>
      </c>
      <c r="C183" s="18" t="str">
        <f>VLOOKUP(A183,Sheet1!C:F,2,0)</f>
        <v>المطورون العرب القابضة</v>
      </c>
      <c r="D183" s="18" t="s">
        <v>40</v>
      </c>
      <c r="E183" s="18">
        <f>VLOOKUP(C183,Sheet2!A:N,4,0)</f>
        <v>0.217</v>
      </c>
      <c r="F183" s="18">
        <f>VLOOKUP(C183,Sheet2!A:N,5,0)</f>
        <v>0.217</v>
      </c>
      <c r="G183" s="18">
        <f>VLOOKUP(C183,Sheet2!A:N,6,0)</f>
        <v>0.216</v>
      </c>
      <c r="H183" s="18">
        <f>VLOOKUP(C183,Sheet2!A:N,7,0)</f>
        <v>-0.46</v>
      </c>
      <c r="I183" s="18">
        <f>VLOOKUP(C183,Sheet2!A:N,8,0)</f>
        <v>0.216</v>
      </c>
      <c r="J183" s="18">
        <f>VLOOKUP(C183,Sheet2!A:N,9,0)</f>
        <v>0.224</v>
      </c>
      <c r="K183" s="18">
        <f>VLOOKUP(C183,Sheet2!A:N,10,0)</f>
        <v>0.215</v>
      </c>
      <c r="L183" s="20">
        <f>VLOOKUP(C183,Sheet2!A:N,11,0)</f>
        <v>121253465.34</v>
      </c>
      <c r="M183" s="21">
        <f>VLOOKUP(C183,Sheet2!A:N,12,0)</f>
        <v>554792997</v>
      </c>
      <c r="N183" s="18">
        <f>VLOOKUP(C183,Sheet2!A:N,13,0)</f>
        <v>2126</v>
      </c>
      <c r="O183" s="21">
        <f>VLOOKUP(C183,Sheet2!A:N,14,0)</f>
        <v>3003</v>
      </c>
    </row>
    <row r="184" spans="1:15" x14ac:dyDescent="0.25">
      <c r="A184" s="19" t="s">
        <v>565</v>
      </c>
      <c r="B184" s="18" t="str">
        <f t="shared" si="2"/>
        <v>البنك التجاري الدولي -مصر (سى اى بى )</v>
      </c>
      <c r="C184" s="18" t="str">
        <f>VLOOKUP(A184,Sheet1!C:F,2,0)</f>
        <v>البنك التجاري الدولي -مصر (سى اى بى )</v>
      </c>
      <c r="D184" s="18" t="s">
        <v>49</v>
      </c>
      <c r="E184" s="18">
        <f>VLOOKUP(C184,Sheet2!A:N,4,0)</f>
        <v>134.75</v>
      </c>
      <c r="F184" s="18">
        <f>VLOOKUP(C184,Sheet2!A:N,5,0)</f>
        <v>134.75</v>
      </c>
      <c r="G184" s="18">
        <f>VLOOKUP(C184,Sheet2!A:N,6,0)</f>
        <v>133.4</v>
      </c>
      <c r="H184" s="18">
        <f>VLOOKUP(C184,Sheet2!A:N,7,0)</f>
        <v>-1</v>
      </c>
      <c r="I184" s="18">
        <f>VLOOKUP(C184,Sheet2!A:N,8,0)</f>
        <v>133.4</v>
      </c>
      <c r="J184" s="18">
        <f>VLOOKUP(C184,Sheet2!A:N,9,0)</f>
        <v>134.19999999999999</v>
      </c>
      <c r="K184" s="18">
        <f>VLOOKUP(C184,Sheet2!A:N,10,0)</f>
        <v>133.03</v>
      </c>
      <c r="L184" s="20">
        <f>VLOOKUP(C184,Sheet2!A:N,11,0)</f>
        <v>477917586.98000002</v>
      </c>
      <c r="M184" s="21">
        <f>VLOOKUP(C184,Sheet2!A:N,12,0)</f>
        <v>3577275</v>
      </c>
      <c r="N184" s="18">
        <f>VLOOKUP(C184,Sheet2!A:N,13,0)</f>
        <v>3581</v>
      </c>
      <c r="O184" s="21">
        <f>VLOOKUP(C184,Sheet2!A:N,14,0)</f>
        <v>454246</v>
      </c>
    </row>
    <row r="185" spans="1:15" x14ac:dyDescent="0.25">
      <c r="A185" s="19" t="s">
        <v>262</v>
      </c>
      <c r="B185" s="18" t="str">
        <f t="shared" si="2"/>
        <v>مصرف أبو ظبي الأسلامي- مصر</v>
      </c>
      <c r="C185" s="18" t="str">
        <f>VLOOKUP(A185,Sheet1!C:F,2,0)</f>
        <v>مصرف أبو ظبي الأسلامي- مصر</v>
      </c>
      <c r="D185" s="18" t="s">
        <v>49</v>
      </c>
      <c r="E185" s="18">
        <f>VLOOKUP(C185,Sheet2!A:N,4,0)</f>
        <v>47.3</v>
      </c>
      <c r="F185" s="18">
        <f>VLOOKUP(C185,Sheet2!A:N,5,0)</f>
        <v>47.3</v>
      </c>
      <c r="G185" s="18">
        <f>VLOOKUP(C185,Sheet2!A:N,6,0)</f>
        <v>47.8</v>
      </c>
      <c r="H185" s="18">
        <f>VLOOKUP(C185,Sheet2!A:N,7,0)</f>
        <v>1.06</v>
      </c>
      <c r="I185" s="18">
        <f>VLOOKUP(C185,Sheet2!A:N,8,0)</f>
        <v>47.8</v>
      </c>
      <c r="J185" s="18">
        <f>VLOOKUP(C185,Sheet2!A:N,9,0)</f>
        <v>47.8</v>
      </c>
      <c r="K185" s="18">
        <f>VLOOKUP(C185,Sheet2!A:N,10,0)</f>
        <v>46.86</v>
      </c>
      <c r="L185" s="20">
        <f>VLOOKUP(C185,Sheet2!A:N,11,0)</f>
        <v>74269263.359999999</v>
      </c>
      <c r="M185" s="21">
        <f>VLOOKUP(C185,Sheet2!A:N,12,0)</f>
        <v>1564948</v>
      </c>
      <c r="N185" s="18">
        <f>VLOOKUP(C185,Sheet2!A:N,13,0)</f>
        <v>1944</v>
      </c>
      <c r="O185" s="21">
        <f>VLOOKUP(C185,Sheet2!A:N,14,0)</f>
        <v>71700</v>
      </c>
    </row>
    <row r="186" spans="1:15" x14ac:dyDescent="0.25">
      <c r="A186" s="19" t="s">
        <v>325</v>
      </c>
      <c r="B186" s="18" t="str">
        <f t="shared" si="2"/>
        <v>بنك البركة مصر</v>
      </c>
      <c r="C186" s="18" t="str">
        <f>VLOOKUP(A186,Sheet1!C:F,2,0)</f>
        <v>بنك البركة مصر</v>
      </c>
      <c r="D186" s="18" t="s">
        <v>49</v>
      </c>
      <c r="E186" s="18">
        <f>VLOOKUP(C186,Sheet2!A:N,4,0)</f>
        <v>22</v>
      </c>
      <c r="F186" s="18">
        <f>VLOOKUP(C186,Sheet2!A:N,5,0)</f>
        <v>22</v>
      </c>
      <c r="G186" s="18">
        <f>VLOOKUP(C186,Sheet2!A:N,6,0)</f>
        <v>21.96</v>
      </c>
      <c r="H186" s="18">
        <f>VLOOKUP(C186,Sheet2!A:N,7,0)</f>
        <v>-0.18</v>
      </c>
      <c r="I186" s="18">
        <f>VLOOKUP(C186,Sheet2!A:N,8,0)</f>
        <v>21.9</v>
      </c>
      <c r="J186" s="18">
        <f>VLOOKUP(C186,Sheet2!A:N,9,0)</f>
        <v>22</v>
      </c>
      <c r="K186" s="18">
        <f>VLOOKUP(C186,Sheet2!A:N,10,0)</f>
        <v>21.72</v>
      </c>
      <c r="L186" s="20">
        <f>VLOOKUP(C186,Sheet2!A:N,11,0)</f>
        <v>5365095.67</v>
      </c>
      <c r="M186" s="21">
        <f>VLOOKUP(C186,Sheet2!A:N,12,0)</f>
        <v>245010</v>
      </c>
      <c r="N186" s="18">
        <f>VLOOKUP(C186,Sheet2!A:N,13,0)</f>
        <v>282</v>
      </c>
      <c r="O186" s="21">
        <f>VLOOKUP(C186,Sheet2!A:N,14,0)</f>
        <v>15968</v>
      </c>
    </row>
    <row r="187" spans="1:15" x14ac:dyDescent="0.25">
      <c r="A187" s="19" t="s">
        <v>244</v>
      </c>
      <c r="B187" s="18" t="str">
        <f t="shared" si="2"/>
        <v>مصر للالومنيوم</v>
      </c>
      <c r="C187" s="18" t="str">
        <f>VLOOKUP(A187,Sheet1!C:F,2,0)</f>
        <v>مصر للالومنيوم</v>
      </c>
      <c r="D187" s="18" t="s">
        <v>61</v>
      </c>
      <c r="E187" s="18">
        <f>VLOOKUP(C187,Sheet2!A:N,4,0)</f>
        <v>299</v>
      </c>
      <c r="F187" s="18">
        <f>VLOOKUP(C187,Sheet2!A:N,5,0)</f>
        <v>299</v>
      </c>
      <c r="G187" s="18">
        <f>VLOOKUP(C187,Sheet2!A:N,6,0)</f>
        <v>299</v>
      </c>
      <c r="H187" s="18">
        <f>VLOOKUP(C187,Sheet2!A:N,7,0)</f>
        <v>0</v>
      </c>
      <c r="I187" s="18">
        <f>VLOOKUP(C187,Sheet2!A:N,8,0)</f>
        <v>299</v>
      </c>
      <c r="J187" s="18">
        <f>VLOOKUP(C187,Sheet2!A:N,9,0)</f>
        <v>303</v>
      </c>
      <c r="K187" s="18">
        <f>VLOOKUP(C187,Sheet2!A:N,10,0)</f>
        <v>298.10000000000002</v>
      </c>
      <c r="L187" s="20">
        <f>VLOOKUP(C187,Sheet2!A:N,11,0)</f>
        <v>35495906.609999999</v>
      </c>
      <c r="M187" s="21">
        <f>VLOOKUP(C187,Sheet2!A:N,12,0)</f>
        <v>118398</v>
      </c>
      <c r="N187" s="18">
        <f>VLOOKUP(C187,Sheet2!A:N,13,0)</f>
        <v>2075</v>
      </c>
      <c r="O187" s="21">
        <f>VLOOKUP(C187,Sheet2!A:N,14,0)</f>
        <v>123338</v>
      </c>
    </row>
    <row r="188" spans="1:15" x14ac:dyDescent="0.25">
      <c r="A188" s="19" t="s">
        <v>566</v>
      </c>
      <c r="B188" s="18" t="str">
        <f t="shared" si="2"/>
        <v>جراند انفستمنت القابضة للاستثمارات المالية</v>
      </c>
      <c r="C188" s="18" t="str">
        <f>VLOOKUP(A188,Sheet1!C:F,2,0)</f>
        <v>جراند انفستمنت القابضة للاستثمارات المالية</v>
      </c>
      <c r="D188" s="18" t="s">
        <v>44</v>
      </c>
      <c r="E188" s="18">
        <f>VLOOKUP(C188,Sheet2!A:N,4,0)</f>
        <v>55.41</v>
      </c>
      <c r="F188" s="18">
        <f>VLOOKUP(C188,Sheet2!A:N,5,0)</f>
        <v>55.41</v>
      </c>
      <c r="G188" s="18">
        <f>VLOOKUP(C188,Sheet2!A:N,6,0)</f>
        <v>53.35</v>
      </c>
      <c r="H188" s="18">
        <f>VLOOKUP(C188,Sheet2!A:N,7,0)</f>
        <v>-3.72</v>
      </c>
      <c r="I188" s="18">
        <f>VLOOKUP(C188,Sheet2!A:N,8,0)</f>
        <v>53.35</v>
      </c>
      <c r="J188" s="18">
        <f>VLOOKUP(C188,Sheet2!A:N,9,0)</f>
        <v>55.5</v>
      </c>
      <c r="K188" s="18">
        <f>VLOOKUP(C188,Sheet2!A:N,10,0)</f>
        <v>52.15</v>
      </c>
      <c r="L188" s="20">
        <f>VLOOKUP(C188,Sheet2!A:N,11,0)</f>
        <v>1428881.8</v>
      </c>
      <c r="M188" s="21">
        <f>VLOOKUP(C188,Sheet2!A:N,12,0)</f>
        <v>26734</v>
      </c>
      <c r="N188" s="18">
        <f>VLOOKUP(C188,Sheet2!A:N,13,0)</f>
        <v>73</v>
      </c>
      <c r="O188" s="21">
        <f>VLOOKUP(C188,Sheet2!A:N,14,0)</f>
        <v>416</v>
      </c>
    </row>
    <row r="189" spans="1:15" x14ac:dyDescent="0.25">
      <c r="A189" s="19" t="s">
        <v>489</v>
      </c>
      <c r="B189" s="18" t="str">
        <f t="shared" si="2"/>
        <v>الاسماعيلية الجديدة للتطوير والتنمية العمرانية-شركة منقسمة</v>
      </c>
      <c r="C189" s="18" t="str">
        <f>VLOOKUP(A189,Sheet1!C:F,2,0)</f>
        <v>الاسماعيلية الجديدة للتطوير والتنمية العمرانية-شركة منقسمة</v>
      </c>
      <c r="D189" s="18" t="s">
        <v>40</v>
      </c>
      <c r="E189" s="18">
        <f>VLOOKUP(C189,Sheet2!A:N,4,0)</f>
        <v>43.03</v>
      </c>
      <c r="F189" s="18">
        <f>VLOOKUP(C189,Sheet2!A:N,5,0)</f>
        <v>43.03</v>
      </c>
      <c r="G189" s="18">
        <f>VLOOKUP(C189,Sheet2!A:N,6,0)</f>
        <v>44</v>
      </c>
      <c r="H189" s="18">
        <f>VLOOKUP(C189,Sheet2!A:N,7,0)</f>
        <v>2.25</v>
      </c>
      <c r="I189" s="18">
        <f>VLOOKUP(C189,Sheet2!A:N,8,0)</f>
        <v>44</v>
      </c>
      <c r="J189" s="18">
        <f>VLOOKUP(C189,Sheet2!A:N,9,0)</f>
        <v>44.6</v>
      </c>
      <c r="K189" s="18">
        <f>VLOOKUP(C189,Sheet2!A:N,10,0)</f>
        <v>43.03</v>
      </c>
      <c r="L189" s="20">
        <f>VLOOKUP(C189,Sheet2!A:N,11,0)</f>
        <v>12220608.140000001</v>
      </c>
      <c r="M189" s="21">
        <f>VLOOKUP(C189,Sheet2!A:N,12,0)</f>
        <v>278363</v>
      </c>
      <c r="N189" s="18">
        <f>VLOOKUP(C189,Sheet2!A:N,13,0)</f>
        <v>444</v>
      </c>
      <c r="O189" s="21">
        <f>VLOOKUP(C189,Sheet2!A:N,14,0)</f>
        <v>1621</v>
      </c>
    </row>
    <row r="190" spans="1:15" x14ac:dyDescent="0.25">
      <c r="A190" s="19" t="s">
        <v>312</v>
      </c>
      <c r="B190" s="18" t="str">
        <f t="shared" si="2"/>
        <v>القلعة للاستثمارات المالية</v>
      </c>
      <c r="C190" s="18" t="str">
        <f>VLOOKUP(A190,Sheet1!C:F,2,0)</f>
        <v>القلعة للاستثمارات المالية</v>
      </c>
      <c r="D190" s="18" t="s">
        <v>44</v>
      </c>
      <c r="E190" s="18">
        <f>VLOOKUP(C190,Sheet2!A:N,4,0)</f>
        <v>5.03</v>
      </c>
      <c r="F190" s="18">
        <f>VLOOKUP(C190,Sheet2!A:N,5,0)</f>
        <v>5.03</v>
      </c>
      <c r="G190" s="18">
        <f>VLOOKUP(C190,Sheet2!A:N,6,0)</f>
        <v>5.12</v>
      </c>
      <c r="H190" s="18">
        <f>VLOOKUP(C190,Sheet2!A:N,7,0)</f>
        <v>1.79</v>
      </c>
      <c r="I190" s="18">
        <f>VLOOKUP(C190,Sheet2!A:N,8,0)</f>
        <v>5.12</v>
      </c>
      <c r="J190" s="18">
        <f>VLOOKUP(C190,Sheet2!A:N,9,0)</f>
        <v>5.17</v>
      </c>
      <c r="K190" s="18">
        <f>VLOOKUP(C190,Sheet2!A:N,10,0)</f>
        <v>4.9800000000000004</v>
      </c>
      <c r="L190" s="20">
        <f>VLOOKUP(C190,Sheet2!A:N,11,0)</f>
        <v>730365774.95000005</v>
      </c>
      <c r="M190" s="21">
        <f>VLOOKUP(C190,Sheet2!A:N,12,0)</f>
        <v>143611803</v>
      </c>
      <c r="N190" s="18">
        <f>VLOOKUP(C190,Sheet2!A:N,13,0)</f>
        <v>4589</v>
      </c>
      <c r="O190" s="21">
        <f>VLOOKUP(C190,Sheet2!A:N,14,0)</f>
        <v>16468</v>
      </c>
    </row>
    <row r="191" spans="1:15" x14ac:dyDescent="0.25">
      <c r="A191" s="19" t="s">
        <v>569</v>
      </c>
      <c r="B191" s="18" t="str">
        <f t="shared" si="2"/>
        <v>العبوات الطبية</v>
      </c>
      <c r="C191" s="18" t="str">
        <f>VLOOKUP(A191,Sheet1!C:F,2,0)</f>
        <v>العبوات الطبية</v>
      </c>
      <c r="D191" s="18" t="s">
        <v>51</v>
      </c>
      <c r="E191" s="18">
        <f>VLOOKUP(C191,Sheet2!A:N,4,0)</f>
        <v>1.7</v>
      </c>
      <c r="F191" s="18">
        <f>VLOOKUP(C191,Sheet2!A:N,5,0)</f>
        <v>1.7</v>
      </c>
      <c r="G191" s="18">
        <f>VLOOKUP(C191,Sheet2!A:N,6,0)</f>
        <v>1.7</v>
      </c>
      <c r="H191" s="18">
        <f>VLOOKUP(C191,Sheet2!A:N,7,0)</f>
        <v>0</v>
      </c>
      <c r="I191" s="18">
        <f>VLOOKUP(C191,Sheet2!A:N,8,0)</f>
        <v>1.7</v>
      </c>
      <c r="J191" s="18">
        <f>VLOOKUP(C191,Sheet2!A:N,9,0)</f>
        <v>1.71</v>
      </c>
      <c r="K191" s="18">
        <f>VLOOKUP(C191,Sheet2!A:N,10,0)</f>
        <v>1.69</v>
      </c>
      <c r="L191" s="20">
        <f>VLOOKUP(C191,Sheet2!A:N,11,0)</f>
        <v>7354718.96</v>
      </c>
      <c r="M191" s="21">
        <f>VLOOKUP(C191,Sheet2!A:N,12,0)</f>
        <v>4326752</v>
      </c>
      <c r="N191" s="18">
        <f>VLOOKUP(C191,Sheet2!A:N,13,0)</f>
        <v>288</v>
      </c>
      <c r="O191" s="21">
        <f>VLOOKUP(C191,Sheet2!A:N,14,0)</f>
        <v>1114</v>
      </c>
    </row>
    <row r="192" spans="1:15" x14ac:dyDescent="0.25">
      <c r="A192" s="19" t="s">
        <v>368</v>
      </c>
      <c r="B192" s="18" t="str">
        <f t="shared" si="2"/>
        <v>اوراسكوم للاستثمار القابضه</v>
      </c>
      <c r="C192" s="18" t="str">
        <f>VLOOKUP(A192,Sheet1!C:F,2,0)</f>
        <v>اوراسكوم للاستثمار القابضه</v>
      </c>
      <c r="D192" s="18" t="s">
        <v>59</v>
      </c>
      <c r="E192" s="18">
        <f>VLOOKUP(C192,Sheet2!A:N,4,0)</f>
        <v>1.37</v>
      </c>
      <c r="F192" s="18">
        <f>VLOOKUP(C192,Sheet2!A:N,5,0)</f>
        <v>1.37</v>
      </c>
      <c r="G192" s="18">
        <f>VLOOKUP(C192,Sheet2!A:N,6,0)</f>
        <v>1.37</v>
      </c>
      <c r="H192" s="18">
        <f>VLOOKUP(C192,Sheet2!A:N,7,0)</f>
        <v>0</v>
      </c>
      <c r="I192" s="18">
        <f>VLOOKUP(C192,Sheet2!A:N,8,0)</f>
        <v>1.37</v>
      </c>
      <c r="J192" s="18">
        <f>VLOOKUP(C192,Sheet2!A:N,9,0)</f>
        <v>1.38</v>
      </c>
      <c r="K192" s="18">
        <f>VLOOKUP(C192,Sheet2!A:N,10,0)</f>
        <v>1.36</v>
      </c>
      <c r="L192" s="20">
        <f>VLOOKUP(C192,Sheet2!A:N,11,0)</f>
        <v>13783202.92</v>
      </c>
      <c r="M192" s="21">
        <f>VLOOKUP(C192,Sheet2!A:N,12,0)</f>
        <v>10031487</v>
      </c>
      <c r="N192" s="18">
        <f>VLOOKUP(C192,Sheet2!A:N,13,0)</f>
        <v>587</v>
      </c>
      <c r="O192" s="21">
        <f>VLOOKUP(C192,Sheet2!A:N,14,0)</f>
        <v>7187</v>
      </c>
    </row>
    <row r="193" spans="1:15" x14ac:dyDescent="0.25">
      <c r="A193" s="19" t="s">
        <v>491</v>
      </c>
      <c r="B193" s="18" t="str">
        <f t="shared" si="2"/>
        <v>اطلس للاستثمار والصناعات الغذائية</v>
      </c>
      <c r="C193" s="18" t="str">
        <f>VLOOKUP(A193,Sheet1!C:F,2,0)</f>
        <v>اطلس للاستثمار والصناعات الغذائية</v>
      </c>
      <c r="D193" s="18" t="s">
        <v>40</v>
      </c>
      <c r="E193" s="18">
        <f>VLOOKUP(C193,Sheet2!A:N,4,0)</f>
        <v>1.95</v>
      </c>
      <c r="F193" s="18">
        <f>VLOOKUP(C193,Sheet2!A:N,5,0)</f>
        <v>1.95</v>
      </c>
      <c r="G193" s="18">
        <f>VLOOKUP(C193,Sheet2!A:N,6,0)</f>
        <v>2</v>
      </c>
      <c r="H193" s="18">
        <f>VLOOKUP(C193,Sheet2!A:N,7,0)</f>
        <v>2.56</v>
      </c>
      <c r="I193" s="18">
        <f>VLOOKUP(C193,Sheet2!A:N,8,0)</f>
        <v>2</v>
      </c>
      <c r="J193" s="18">
        <f>VLOOKUP(C193,Sheet2!A:N,9,0)</f>
        <v>2.04</v>
      </c>
      <c r="K193" s="18">
        <f>VLOOKUP(C193,Sheet2!A:N,10,0)</f>
        <v>1.94</v>
      </c>
      <c r="L193" s="20">
        <f>VLOOKUP(C193,Sheet2!A:N,11,0)</f>
        <v>33191724.359999999</v>
      </c>
      <c r="M193" s="21">
        <f>VLOOKUP(C193,Sheet2!A:N,12,0)</f>
        <v>16605694</v>
      </c>
      <c r="N193" s="18">
        <f>VLOOKUP(C193,Sheet2!A:N,13,0)</f>
        <v>780</v>
      </c>
      <c r="O193" s="21">
        <f>VLOOKUP(C193,Sheet2!A:N,14,0)</f>
        <v>2303</v>
      </c>
    </row>
    <row r="194" spans="1:15" x14ac:dyDescent="0.25">
      <c r="A194" s="19" t="s">
        <v>570</v>
      </c>
      <c r="B194" s="18" t="str">
        <f t="shared" si="2"/>
        <v>سبأ الدولية للأدوية والصناعات الكيماوية</v>
      </c>
      <c r="C194" s="18" t="str">
        <f>VLOOKUP(A194,Sheet1!C:F,2,0)</f>
        <v>سبأ الدولية للأدوية والصناعات الكيماوية</v>
      </c>
      <c r="D194" s="18" t="s">
        <v>51</v>
      </c>
      <c r="E194" s="18">
        <f>VLOOKUP(C194,Sheet2!A:N,4,0)</f>
        <v>3.47</v>
      </c>
      <c r="F194" s="18">
        <f>VLOOKUP(C194,Sheet2!A:N,5,0)</f>
        <v>3.47</v>
      </c>
      <c r="G194" s="18">
        <f>VLOOKUP(C194,Sheet2!A:N,6,0)</f>
        <v>3.46</v>
      </c>
      <c r="H194" s="18">
        <f>VLOOKUP(C194,Sheet2!A:N,7,0)</f>
        <v>-0.28999999999999998</v>
      </c>
      <c r="I194" s="18">
        <f>VLOOKUP(C194,Sheet2!A:N,8,0)</f>
        <v>3.46</v>
      </c>
      <c r="J194" s="18">
        <f>VLOOKUP(C194,Sheet2!A:N,9,0)</f>
        <v>3.49</v>
      </c>
      <c r="K194" s="18">
        <f>VLOOKUP(C194,Sheet2!A:N,10,0)</f>
        <v>3.43</v>
      </c>
      <c r="L194" s="20">
        <f>VLOOKUP(C194,Sheet2!A:N,11,0)</f>
        <v>15147808.68</v>
      </c>
      <c r="M194" s="21">
        <f>VLOOKUP(C194,Sheet2!A:N,12,0)</f>
        <v>4381732</v>
      </c>
      <c r="N194" s="18">
        <f>VLOOKUP(C194,Sheet2!A:N,13,0)</f>
        <v>381</v>
      </c>
      <c r="O194" s="21">
        <f>VLOOKUP(C194,Sheet2!A:N,14,0)</f>
        <v>865</v>
      </c>
    </row>
    <row r="195" spans="1:15" x14ac:dyDescent="0.25">
      <c r="A195" s="19" t="s">
        <v>352</v>
      </c>
      <c r="B195" s="18" t="str">
        <f t="shared" ref="B195:B205" si="3">C195</f>
        <v>عبور لاند للصناعات الغذائية</v>
      </c>
      <c r="C195" s="18" t="str">
        <f>VLOOKUP(A195,Sheet1!C:F,2,0)</f>
        <v>عبور لاند للصناعات الغذائية</v>
      </c>
      <c r="D195" s="18" t="s">
        <v>48</v>
      </c>
      <c r="E195" s="18">
        <f>VLOOKUP(C195,Sheet2!A:N,4,0)</f>
        <v>22.37</v>
      </c>
      <c r="F195" s="18">
        <f>VLOOKUP(C195,Sheet2!A:N,5,0)</f>
        <v>22.37</v>
      </c>
      <c r="G195" s="18">
        <f>VLOOKUP(C195,Sheet2!A:N,6,0)</f>
        <v>22</v>
      </c>
      <c r="H195" s="18">
        <f>VLOOKUP(C195,Sheet2!A:N,7,0)</f>
        <v>-1.65</v>
      </c>
      <c r="I195" s="18">
        <f>VLOOKUP(C195,Sheet2!A:N,8,0)</f>
        <v>22</v>
      </c>
      <c r="J195" s="18">
        <f>VLOOKUP(C195,Sheet2!A:N,9,0)</f>
        <v>22.46</v>
      </c>
      <c r="K195" s="18">
        <f>VLOOKUP(C195,Sheet2!A:N,10,0)</f>
        <v>21.85</v>
      </c>
      <c r="L195" s="20">
        <f>VLOOKUP(C195,Sheet2!A:N,11,0)</f>
        <v>22284913.940000001</v>
      </c>
      <c r="M195" s="21">
        <f>VLOOKUP(C195,Sheet2!A:N,12,0)</f>
        <v>1012649</v>
      </c>
      <c r="N195" s="18">
        <f>VLOOKUP(C195,Sheet2!A:N,13,0)</f>
        <v>908</v>
      </c>
      <c r="O195" s="21">
        <f>VLOOKUP(C195,Sheet2!A:N,14,0)</f>
        <v>8800</v>
      </c>
    </row>
    <row r="196" spans="1:15" x14ac:dyDescent="0.25">
      <c r="A196" s="19" t="s">
        <v>301</v>
      </c>
      <c r="B196" s="18" t="str">
        <f t="shared" si="3"/>
        <v>شركة مستشفي كليوباترا</v>
      </c>
      <c r="C196" s="18" t="str">
        <f>VLOOKUP(A196,Sheet1!C:F,2,0)</f>
        <v>شركة مستشفي كليوباترا</v>
      </c>
      <c r="D196" s="18" t="s">
        <v>51</v>
      </c>
      <c r="E196" s="18">
        <f>VLOOKUP(C196,Sheet2!A:N,4,0)</f>
        <v>15.49</v>
      </c>
      <c r="F196" s="18">
        <f>VLOOKUP(C196,Sheet2!A:N,5,0)</f>
        <v>15.49</v>
      </c>
      <c r="G196" s="18">
        <f>VLOOKUP(C196,Sheet2!A:N,6,0)</f>
        <v>15.59</v>
      </c>
      <c r="H196" s="18">
        <f>VLOOKUP(C196,Sheet2!A:N,7,0)</f>
        <v>0.65</v>
      </c>
      <c r="I196" s="18">
        <f>VLOOKUP(C196,Sheet2!A:N,8,0)</f>
        <v>15.59</v>
      </c>
      <c r="J196" s="18">
        <f>VLOOKUP(C196,Sheet2!A:N,9,0)</f>
        <v>15.61</v>
      </c>
      <c r="K196" s="18">
        <f>VLOOKUP(C196,Sheet2!A:N,10,0)</f>
        <v>15.25</v>
      </c>
      <c r="L196" s="20">
        <f>VLOOKUP(C196,Sheet2!A:N,11,0)</f>
        <v>7752118.7400000002</v>
      </c>
      <c r="M196" s="21">
        <f>VLOOKUP(C196,Sheet2!A:N,12,0)</f>
        <v>499836</v>
      </c>
      <c r="N196" s="18">
        <f>VLOOKUP(C196,Sheet2!A:N,13,0)</f>
        <v>375</v>
      </c>
      <c r="O196" s="21">
        <f>VLOOKUP(C196,Sheet2!A:N,14,0)</f>
        <v>22597</v>
      </c>
    </row>
    <row r="197" spans="1:15" x14ac:dyDescent="0.25">
      <c r="A197" s="19" t="s">
        <v>492</v>
      </c>
      <c r="B197" s="18" t="str">
        <f t="shared" si="3"/>
        <v>او بي المالية القابضة</v>
      </c>
      <c r="C197" s="18" t="str">
        <f>VLOOKUP(A197,Sheet1!C:F,2,0)</f>
        <v>او بي المالية القابضة</v>
      </c>
      <c r="D197" s="18" t="s">
        <v>44</v>
      </c>
      <c r="E197" s="18">
        <f>VLOOKUP(C197,Sheet2!A:N,4,0)</f>
        <v>0.61699999999999999</v>
      </c>
      <c r="F197" s="18">
        <f>VLOOKUP(C197,Sheet2!A:N,5,0)</f>
        <v>0.61699999999999999</v>
      </c>
      <c r="G197" s="18">
        <f>VLOOKUP(C197,Sheet2!A:N,6,0)</f>
        <v>0.61699999999999999</v>
      </c>
      <c r="H197" s="18">
        <f>VLOOKUP(C197,Sheet2!A:N,7,0)</f>
        <v>0</v>
      </c>
      <c r="I197" s="18">
        <f>VLOOKUP(C197,Sheet2!A:N,8,0)</f>
        <v>0.61699999999999999</v>
      </c>
      <c r="J197" s="18">
        <f>VLOOKUP(C197,Sheet2!A:N,9,0)</f>
        <v>0.621</v>
      </c>
      <c r="K197" s="18">
        <f>VLOOKUP(C197,Sheet2!A:N,10,0)</f>
        <v>0.61299999999999999</v>
      </c>
      <c r="L197" s="20">
        <f>VLOOKUP(C197,Sheet2!A:N,11,0)</f>
        <v>9125712.8800000008</v>
      </c>
      <c r="M197" s="21">
        <f>VLOOKUP(C197,Sheet2!A:N,12,0)</f>
        <v>14779160</v>
      </c>
      <c r="N197" s="18">
        <f>VLOOKUP(C197,Sheet2!A:N,13,0)</f>
        <v>269</v>
      </c>
      <c r="O197" s="21">
        <f>VLOOKUP(C197,Sheet2!A:N,14,0)</f>
        <v>2855</v>
      </c>
    </row>
    <row r="198" spans="1:15" x14ac:dyDescent="0.25">
      <c r="A198" s="19" t="s">
        <v>573</v>
      </c>
      <c r="B198" s="18" t="str">
        <f t="shared" si="3"/>
        <v>الشركة العربية لادارة وتطوير الاصول</v>
      </c>
      <c r="C198" s="18" t="str">
        <f>VLOOKUP(A198,Sheet1!C:F,2,0)</f>
        <v>الشركة العربية لادارة وتطوير الاصول</v>
      </c>
      <c r="D198" s="18" t="s">
        <v>40</v>
      </c>
      <c r="E198" s="18">
        <f>VLOOKUP(C198,Sheet2!A:N,4,0)</f>
        <v>2.2999999999999998</v>
      </c>
      <c r="F198" s="18">
        <f>VLOOKUP(C198,Sheet2!A:N,5,0)</f>
        <v>2.2999999999999998</v>
      </c>
      <c r="G198" s="18">
        <f>VLOOKUP(C198,Sheet2!A:N,6,0)</f>
        <v>2.36</v>
      </c>
      <c r="H198" s="18">
        <f>VLOOKUP(C198,Sheet2!A:N,7,0)</f>
        <v>2.61</v>
      </c>
      <c r="I198" s="18">
        <f>VLOOKUP(C198,Sheet2!A:N,8,0)</f>
        <v>2.36</v>
      </c>
      <c r="J198" s="18">
        <f>VLOOKUP(C198,Sheet2!A:N,9,0)</f>
        <v>2.4</v>
      </c>
      <c r="K198" s="18">
        <f>VLOOKUP(C198,Sheet2!A:N,10,0)</f>
        <v>2.33</v>
      </c>
      <c r="L198" s="20">
        <f>VLOOKUP(C198,Sheet2!A:N,11,0)</f>
        <v>97006499.930000007</v>
      </c>
      <c r="M198" s="21">
        <f>VLOOKUP(C198,Sheet2!A:N,12,0)</f>
        <v>41079674</v>
      </c>
      <c r="N198" s="18">
        <f>VLOOKUP(C198,Sheet2!A:N,13,0)</f>
        <v>1528</v>
      </c>
      <c r="O198" s="21">
        <f>VLOOKUP(C198,Sheet2!A:N,14,0)</f>
        <v>3125</v>
      </c>
    </row>
    <row r="199" spans="1:15" x14ac:dyDescent="0.25">
      <c r="A199" s="19" t="s">
        <v>362</v>
      </c>
      <c r="B199" s="18" t="str">
        <f t="shared" si="3"/>
        <v>الحديد والصلب للمناجم والمحاجر</v>
      </c>
      <c r="C199" s="18" t="str">
        <f>VLOOKUP(A199,Sheet1!C:F,2,0)</f>
        <v>الحديد والصلب للمناجم والمحاجر</v>
      </c>
      <c r="D199" s="18" t="s">
        <v>61</v>
      </c>
      <c r="E199" s="18">
        <f>VLOOKUP(C199,Sheet2!A:N,4,0)</f>
        <v>8.14</v>
      </c>
      <c r="F199" s="18">
        <f>VLOOKUP(C199,Sheet2!A:N,5,0)</f>
        <v>8.14</v>
      </c>
      <c r="G199" s="18">
        <f>VLOOKUP(C199,Sheet2!A:N,6,0)</f>
        <v>8.1</v>
      </c>
      <c r="H199" s="18">
        <f>VLOOKUP(C199,Sheet2!A:N,7,0)</f>
        <v>-0.49</v>
      </c>
      <c r="I199" s="18">
        <f>VLOOKUP(C199,Sheet2!A:N,8,0)</f>
        <v>8.1</v>
      </c>
      <c r="J199" s="18">
        <f>VLOOKUP(C199,Sheet2!A:N,9,0)</f>
        <v>8.35</v>
      </c>
      <c r="K199" s="18">
        <f>VLOOKUP(C199,Sheet2!A:N,10,0)</f>
        <v>8.08</v>
      </c>
      <c r="L199" s="20">
        <f>VLOOKUP(C199,Sheet2!A:N,11,0)</f>
        <v>118668798.06999999</v>
      </c>
      <c r="M199" s="21">
        <f>VLOOKUP(C199,Sheet2!A:N,12,0)</f>
        <v>14443352</v>
      </c>
      <c r="N199" s="18">
        <f>VLOOKUP(C199,Sheet2!A:N,13,0)</f>
        <v>1509</v>
      </c>
      <c r="O199" s="21">
        <f>VLOOKUP(C199,Sheet2!A:N,14,0)</f>
        <v>7913</v>
      </c>
    </row>
    <row r="200" spans="1:15" x14ac:dyDescent="0.25">
      <c r="A200" s="19" t="s">
        <v>592</v>
      </c>
      <c r="B200" s="18" t="str">
        <f t="shared" si="3"/>
        <v>فالمور القابضة للاستثماربالجنية</v>
      </c>
      <c r="C200" s="18" t="str">
        <f>VLOOKUP(A200,Sheet1!C:F,2,0)</f>
        <v>فالمور القابضة للاستثماربالجنية</v>
      </c>
      <c r="D200" s="18" t="s">
        <v>44</v>
      </c>
      <c r="E200" s="18">
        <f>VLOOKUP(C200,Sheet2!A:N,4,0)</f>
        <v>27.94</v>
      </c>
      <c r="F200" s="18">
        <f>VLOOKUP(C200,Sheet2!A:N,5,0)</f>
        <v>27.94</v>
      </c>
      <c r="G200" s="18">
        <f>VLOOKUP(C200,Sheet2!A:N,6,0)</f>
        <v>28.53</v>
      </c>
      <c r="H200" s="18">
        <f>VLOOKUP(C200,Sheet2!A:N,7,0)</f>
        <v>2.11</v>
      </c>
      <c r="I200" s="18">
        <f>VLOOKUP(C200,Sheet2!A:N,8,0)</f>
        <v>28.53</v>
      </c>
      <c r="J200" s="18">
        <f>VLOOKUP(C200,Sheet2!A:N,9,0)</f>
        <v>28.85</v>
      </c>
      <c r="K200" s="18">
        <f>VLOOKUP(C200,Sheet2!A:N,10,0)</f>
        <v>27.95</v>
      </c>
      <c r="L200" s="20">
        <f>VLOOKUP(C200,Sheet2!A:N,11,0)</f>
        <v>56486775.979999997</v>
      </c>
      <c r="M200" s="21">
        <f>VLOOKUP(C200,Sheet2!A:N,12,0)</f>
        <v>1987765</v>
      </c>
      <c r="N200" s="18">
        <f>VLOOKUP(C200,Sheet2!A:N,13,0)</f>
        <v>1564</v>
      </c>
      <c r="O200" s="21">
        <f>VLOOKUP(C200,Sheet2!A:N,14,0)</f>
        <v>10054</v>
      </c>
    </row>
    <row r="201" spans="1:15" x14ac:dyDescent="0.25">
      <c r="A201" s="19" t="s">
        <v>360</v>
      </c>
      <c r="B201" s="18" t="str">
        <f t="shared" si="3"/>
        <v>العاشر من رمضان للصناعات الدوائية والمستحضرات تشخيصية-راميدا</v>
      </c>
      <c r="C201" s="18" t="str">
        <f>VLOOKUP(A201,Sheet1!C:F,2,0)</f>
        <v>العاشر من رمضان للصناعات الدوائية والمستحضرات تشخيصية-راميدا</v>
      </c>
      <c r="D201" s="18" t="s">
        <v>51</v>
      </c>
      <c r="E201" s="18">
        <f>VLOOKUP(C201,Sheet2!A:N,4,0)</f>
        <v>5.1100000000000003</v>
      </c>
      <c r="F201" s="18">
        <f>VLOOKUP(C201,Sheet2!A:N,5,0)</f>
        <v>5.1100000000000003</v>
      </c>
      <c r="G201" s="18">
        <f>VLOOKUP(C201,Sheet2!A:N,6,0)</f>
        <v>5.09</v>
      </c>
      <c r="H201" s="18">
        <f>VLOOKUP(C201,Sheet2!A:N,7,0)</f>
        <v>-0.39</v>
      </c>
      <c r="I201" s="18">
        <f>VLOOKUP(C201,Sheet2!A:N,8,0)</f>
        <v>5.09</v>
      </c>
      <c r="J201" s="18">
        <f>VLOOKUP(C201,Sheet2!A:N,9,0)</f>
        <v>5.16</v>
      </c>
      <c r="K201" s="18">
        <f>VLOOKUP(C201,Sheet2!A:N,10,0)</f>
        <v>5.08</v>
      </c>
      <c r="L201" s="20">
        <f>VLOOKUP(C201,Sheet2!A:N,11,0)</f>
        <v>13790117.01</v>
      </c>
      <c r="M201" s="21">
        <f>VLOOKUP(C201,Sheet2!A:N,12,0)</f>
        <v>2698500</v>
      </c>
      <c r="N201" s="18">
        <f>VLOOKUP(C201,Sheet2!A:N,13,0)</f>
        <v>675</v>
      </c>
      <c r="O201" s="21">
        <f>VLOOKUP(C201,Sheet2!A:N,14,0)</f>
        <v>10180</v>
      </c>
    </row>
    <row r="202" spans="1:15" x14ac:dyDescent="0.25">
      <c r="A202" s="19" t="s">
        <v>494</v>
      </c>
      <c r="B202" s="18" t="str">
        <f t="shared" si="3"/>
        <v>تنمية للاستثمار العقاري</v>
      </c>
      <c r="C202" s="18" t="str">
        <f>VLOOKUP(A202,Sheet1!C:F,2,0)</f>
        <v>تنمية للاستثمار العقاري</v>
      </c>
      <c r="D202" s="18" t="s">
        <v>40</v>
      </c>
      <c r="E202" s="18">
        <f>VLOOKUP(C202,Sheet2!A:N,4,0)</f>
        <v>4.88</v>
      </c>
      <c r="F202" s="18">
        <f>VLOOKUP(C202,Sheet2!A:N,5,0)</f>
        <v>4.88</v>
      </c>
      <c r="G202" s="18">
        <f>VLOOKUP(C202,Sheet2!A:N,6,0)</f>
        <v>4.87</v>
      </c>
      <c r="H202" s="18">
        <f>VLOOKUP(C202,Sheet2!A:N,7,0)</f>
        <v>-0.2</v>
      </c>
      <c r="I202" s="18">
        <f>VLOOKUP(C202,Sheet2!A:N,8,0)</f>
        <v>4.87</v>
      </c>
      <c r="J202" s="18">
        <f>VLOOKUP(C202,Sheet2!A:N,9,0)</f>
        <v>4.93</v>
      </c>
      <c r="K202" s="18">
        <f>VLOOKUP(C202,Sheet2!A:N,10,0)</f>
        <v>4.8600000000000003</v>
      </c>
      <c r="L202" s="20">
        <f>VLOOKUP(C202,Sheet2!A:N,11,0)</f>
        <v>3651581.38</v>
      </c>
      <c r="M202" s="21">
        <f>VLOOKUP(C202,Sheet2!A:N,12,0)</f>
        <v>747752</v>
      </c>
      <c r="N202" s="18">
        <f>VLOOKUP(C202,Sheet2!A:N,13,0)</f>
        <v>208</v>
      </c>
      <c r="O202" s="21">
        <f>VLOOKUP(C202,Sheet2!A:N,14,0)</f>
        <v>709</v>
      </c>
    </row>
    <row r="203" spans="1:15" x14ac:dyDescent="0.25">
      <c r="A203" s="19" t="s">
        <v>254</v>
      </c>
      <c r="B203" s="18" t="str">
        <f t="shared" si="3"/>
        <v>فوري لتكنولوجيا البنوك والمدفوعات الالكترونية</v>
      </c>
      <c r="C203" s="18" t="str">
        <f>VLOOKUP(A203,Sheet1!C:F,2,0)</f>
        <v>فوري لتكنولوجيا البنوك والمدفوعات الالكترونية</v>
      </c>
      <c r="D203" s="18" t="s">
        <v>59</v>
      </c>
      <c r="E203" s="18">
        <f>VLOOKUP(C203,Sheet2!A:N,4,0)</f>
        <v>18.739999999999998</v>
      </c>
      <c r="F203" s="18">
        <f>VLOOKUP(C203,Sheet2!A:N,5,0)</f>
        <v>18.739999999999998</v>
      </c>
      <c r="G203" s="18">
        <f>VLOOKUP(C203,Sheet2!A:N,6,0)</f>
        <v>18.89</v>
      </c>
      <c r="H203" s="18">
        <f>VLOOKUP(C203,Sheet2!A:N,7,0)</f>
        <v>0.8</v>
      </c>
      <c r="I203" s="18">
        <f>VLOOKUP(C203,Sheet2!A:N,8,0)</f>
        <v>18.89</v>
      </c>
      <c r="J203" s="18">
        <f>VLOOKUP(C203,Sheet2!A:N,9,0)</f>
        <v>19.07</v>
      </c>
      <c r="K203" s="18">
        <f>VLOOKUP(C203,Sheet2!A:N,10,0)</f>
        <v>18.62</v>
      </c>
      <c r="L203" s="20">
        <f>VLOOKUP(C203,Sheet2!A:N,11,0)</f>
        <v>219877096.91999999</v>
      </c>
      <c r="M203" s="21">
        <f>VLOOKUP(C203,Sheet2!A:N,12,0)</f>
        <v>11674583</v>
      </c>
      <c r="N203" s="18">
        <f>VLOOKUP(C203,Sheet2!A:N,13,0)</f>
        <v>4301</v>
      </c>
      <c r="O203" s="21">
        <f>VLOOKUP(C203,Sheet2!A:N,14,0)</f>
        <v>64349</v>
      </c>
    </row>
    <row r="204" spans="1:15" x14ac:dyDescent="0.25">
      <c r="A204" s="19" t="s">
        <v>575</v>
      </c>
      <c r="B204" s="18" t="str">
        <f t="shared" si="3"/>
        <v>سبيد ميديكال</v>
      </c>
      <c r="C204" s="18" t="str">
        <f>VLOOKUP(A204,Sheet1!C:F,2,0)</f>
        <v>سبيد ميديكال</v>
      </c>
      <c r="D204" s="18" t="s">
        <v>51</v>
      </c>
      <c r="E204" s="18">
        <f>VLOOKUP(C204,Sheet2!A:N,4,0)</f>
        <v>0.40500000000000003</v>
      </c>
      <c r="F204" s="18">
        <f>VLOOKUP(C204,Sheet2!A:N,5,0)</f>
        <v>0.40500000000000003</v>
      </c>
      <c r="G204" s="18">
        <f>VLOOKUP(C204,Sheet2!A:N,6,0)</f>
        <v>0.41799999999999998</v>
      </c>
      <c r="H204" s="18">
        <f>VLOOKUP(C204,Sheet2!A:N,7,0)</f>
        <v>3.21</v>
      </c>
      <c r="I204" s="18">
        <f>VLOOKUP(C204,Sheet2!A:N,8,0)</f>
        <v>0.41799999999999998</v>
      </c>
      <c r="J204" s="18">
        <f>VLOOKUP(C204,Sheet2!A:N,9,0)</f>
        <v>0.42199999999999999</v>
      </c>
      <c r="K204" s="18">
        <f>VLOOKUP(C204,Sheet2!A:N,10,0)</f>
        <v>0.40600000000000003</v>
      </c>
      <c r="L204" s="20">
        <f>VLOOKUP(C204,Sheet2!A:N,11,0)</f>
        <v>13527026.35</v>
      </c>
      <c r="M204" s="21">
        <f>VLOOKUP(C204,Sheet2!A:N,12,0)</f>
        <v>32641691</v>
      </c>
      <c r="N204" s="18">
        <f>VLOOKUP(C204,Sheet2!A:N,13,0)</f>
        <v>375</v>
      </c>
      <c r="O204" s="21">
        <f>VLOOKUP(C204,Sheet2!A:N,14,0)</f>
        <v>695</v>
      </c>
    </row>
    <row r="205" spans="1:15" x14ac:dyDescent="0.25">
      <c r="A205" s="19" t="s">
        <v>331</v>
      </c>
      <c r="B205" s="18" t="str">
        <f t="shared" si="3"/>
        <v>Taaleem Management Services تعليم لخدمات الإدارة</v>
      </c>
      <c r="C205" s="18" t="str">
        <f>VLOOKUP(A205,Sheet1!C:F,2,0)</f>
        <v>Taaleem Management Services تعليم لخدمات الإدارة</v>
      </c>
      <c r="D205" s="18" t="s">
        <v>77</v>
      </c>
      <c r="E205" s="18">
        <f>VLOOKUP(C205,Sheet2!A:N,4,0)</f>
        <v>16.12</v>
      </c>
      <c r="F205" s="18">
        <f>VLOOKUP(C205,Sheet2!A:N,5,0)</f>
        <v>16.12</v>
      </c>
      <c r="G205" s="18">
        <f>VLOOKUP(C205,Sheet2!A:N,6,0)</f>
        <v>16.21</v>
      </c>
      <c r="H205" s="18">
        <f>VLOOKUP(C205,Sheet2!A:N,7,0)</f>
        <v>0.56000000000000005</v>
      </c>
      <c r="I205" s="18">
        <f>VLOOKUP(C205,Sheet2!A:N,8,0)</f>
        <v>16.21</v>
      </c>
      <c r="J205" s="18">
        <f>VLOOKUP(C205,Sheet2!A:N,9,0)</f>
        <v>16.53</v>
      </c>
      <c r="K205" s="18">
        <f>VLOOKUP(C205,Sheet2!A:N,10,0)</f>
        <v>16.21</v>
      </c>
      <c r="L205" s="20">
        <f>VLOOKUP(C205,Sheet2!A:N,11,0)</f>
        <v>7230980.4500000002</v>
      </c>
      <c r="M205" s="21">
        <f>VLOOKUP(C205,Sheet2!A:N,12,0)</f>
        <v>440567</v>
      </c>
      <c r="N205" s="18">
        <f>VLOOKUP(C205,Sheet2!A:N,13,0)</f>
        <v>281</v>
      </c>
      <c r="O205" s="21">
        <f>VLOOKUP(C205,Sheet2!A:N,14,0)</f>
        <v>11899</v>
      </c>
    </row>
    <row r="206" spans="1:15" x14ac:dyDescent="0.25">
      <c r="A206" s="18">
        <v>0</v>
      </c>
      <c r="B206" s="18" t="s">
        <v>883</v>
      </c>
      <c r="C206" s="18" t="e">
        <f>VLOOKUP(A206,Sheet1!C:F,2,0)</f>
        <v>#N/A</v>
      </c>
      <c r="E206" s="18" t="e">
        <f>VLOOKUP(C206,Sheet2!A:N,4,0)</f>
        <v>#N/A</v>
      </c>
      <c r="F206" s="18" t="e">
        <f>VLOOKUP(C206,Sheet2!A:N,5,0)</f>
        <v>#N/A</v>
      </c>
      <c r="G206" s="18" t="e">
        <f>VLOOKUP(C206,Sheet2!A:N,6,0)</f>
        <v>#N/A</v>
      </c>
      <c r="H206" s="18" t="e">
        <f>VLOOKUP(C206,Sheet2!A:N,7,0)</f>
        <v>#N/A</v>
      </c>
      <c r="I206" s="18" t="e">
        <f>VLOOKUP(C206,Sheet2!A:N,8,0)</f>
        <v>#N/A</v>
      </c>
      <c r="J206" s="18" t="e">
        <f>VLOOKUP(C206,Sheet2!A:N,9,0)</f>
        <v>#N/A</v>
      </c>
      <c r="K206" s="18" t="e">
        <f>VLOOKUP(C206,Sheet2!A:N,10,0)</f>
        <v>#N/A</v>
      </c>
      <c r="L206" s="20" t="e">
        <f>VLOOKUP(C206,Sheet2!A:N,11,0)</f>
        <v>#N/A</v>
      </c>
      <c r="M206" s="21" t="e">
        <f>VLOOKUP(C206,Sheet2!A:N,12,0)</f>
        <v>#N/A</v>
      </c>
      <c r="N206" s="18" t="e">
        <f>VLOOKUP(C206,Sheet2!A:N,13,0)</f>
        <v>#N/A</v>
      </c>
      <c r="O206" s="21" t="e">
        <f>VLOOKUP(C206,Sheet2!A:N,14,0)</f>
        <v>#N/A</v>
      </c>
    </row>
    <row r="207" spans="1:15" x14ac:dyDescent="0.25">
      <c r="C207" s="18" t="e">
        <f>VLOOKUP(A207,Sheet1!C:F,2,0)</f>
        <v>#N/A</v>
      </c>
      <c r="E207" s="18" t="e">
        <f>VLOOKUP(C207,Sheet2!A:N,4,0)</f>
        <v>#N/A</v>
      </c>
      <c r="F207" s="18" t="e">
        <f>VLOOKUP(C207,Sheet2!A:N,5,0)</f>
        <v>#N/A</v>
      </c>
      <c r="G207" s="18" t="e">
        <f>VLOOKUP(C207,Sheet2!A:N,6,0)</f>
        <v>#N/A</v>
      </c>
      <c r="H207" s="18" t="e">
        <f>VLOOKUP(C207,Sheet2!A:N,7,0)</f>
        <v>#N/A</v>
      </c>
      <c r="I207" s="18" t="e">
        <f>VLOOKUP(C207,Sheet2!A:N,8,0)</f>
        <v>#N/A</v>
      </c>
      <c r="J207" s="18" t="e">
        <f>VLOOKUP(C207,Sheet2!A:N,9,0)</f>
        <v>#N/A</v>
      </c>
      <c r="K207" s="18" t="e">
        <f>VLOOKUP(C207,Sheet2!A:N,10,0)</f>
        <v>#N/A</v>
      </c>
      <c r="L207" s="20" t="e">
        <f>VLOOKUP(C207,Sheet2!A:N,11,0)</f>
        <v>#N/A</v>
      </c>
      <c r="M207" s="21" t="e">
        <f>VLOOKUP(C207,Sheet2!A:N,12,0)</f>
        <v>#N/A</v>
      </c>
      <c r="N207" s="18" t="e">
        <f>VLOOKUP(C207,Sheet2!A:N,13,0)</f>
        <v>#N/A</v>
      </c>
      <c r="O207" s="21" t="e">
        <f>VLOOKUP(C207,Sheet2!A:N,14,0)</f>
        <v>#N/A</v>
      </c>
    </row>
    <row r="208" spans="1:15" x14ac:dyDescent="0.25">
      <c r="C208" s="18" t="e">
        <f>VLOOKUP(A208,Sheet1!C:F,2,0)</f>
        <v>#N/A</v>
      </c>
      <c r="E208" s="18" t="e">
        <f>VLOOKUP(C208,Sheet2!A:N,4,0)</f>
        <v>#N/A</v>
      </c>
      <c r="F208" s="18" t="e">
        <f>VLOOKUP(C208,Sheet2!A:N,5,0)</f>
        <v>#N/A</v>
      </c>
      <c r="G208" s="18" t="e">
        <f>VLOOKUP(C208,Sheet2!A:N,6,0)</f>
        <v>#N/A</v>
      </c>
      <c r="H208" s="18" t="e">
        <f>VLOOKUP(C208,Sheet2!A:N,7,0)</f>
        <v>#N/A</v>
      </c>
      <c r="I208" s="18" t="e">
        <f>VLOOKUP(C208,Sheet2!A:N,8,0)</f>
        <v>#N/A</v>
      </c>
      <c r="J208" s="18" t="e">
        <f>VLOOKUP(C208,Sheet2!A:N,9,0)</f>
        <v>#N/A</v>
      </c>
      <c r="K208" s="18" t="e">
        <f>VLOOKUP(C208,Sheet2!A:N,10,0)</f>
        <v>#N/A</v>
      </c>
      <c r="L208" s="20" t="e">
        <f>VLOOKUP(C208,Sheet2!A:N,11,0)</f>
        <v>#N/A</v>
      </c>
      <c r="M208" s="21" t="e">
        <f>VLOOKUP(C208,Sheet2!A:N,12,0)</f>
        <v>#N/A</v>
      </c>
      <c r="N208" s="18" t="e">
        <f>VLOOKUP(C208,Sheet2!A:N,13,0)</f>
        <v>#N/A</v>
      </c>
      <c r="O208" s="21" t="e">
        <f>VLOOKUP(C208,Sheet2!A:N,14,0)</f>
        <v>#N/A</v>
      </c>
    </row>
    <row r="209" spans="1:15" x14ac:dyDescent="0.25">
      <c r="C209" s="18" t="e">
        <f>VLOOKUP(A209,Sheet1!C:F,2,0)</f>
        <v>#N/A</v>
      </c>
      <c r="E209" s="18" t="e">
        <f>VLOOKUP(C209,Sheet2!A:N,4,0)</f>
        <v>#N/A</v>
      </c>
      <c r="F209" s="18" t="e">
        <f>VLOOKUP(C209,Sheet2!A:N,5,0)</f>
        <v>#N/A</v>
      </c>
      <c r="G209" s="18" t="e">
        <f>VLOOKUP(C209,Sheet2!A:N,6,0)</f>
        <v>#N/A</v>
      </c>
      <c r="H209" s="18" t="e">
        <f>VLOOKUP(C209,Sheet2!A:N,7,0)</f>
        <v>#N/A</v>
      </c>
      <c r="I209" s="18" t="e">
        <f>VLOOKUP(C209,Sheet2!A:N,8,0)</f>
        <v>#N/A</v>
      </c>
      <c r="J209" s="18" t="e">
        <f>VLOOKUP(C209,Sheet2!A:N,9,0)</f>
        <v>#N/A</v>
      </c>
      <c r="K209" s="18" t="e">
        <f>VLOOKUP(C209,Sheet2!A:N,10,0)</f>
        <v>#N/A</v>
      </c>
      <c r="L209" s="20" t="e">
        <f>VLOOKUP(C209,Sheet2!A:N,11,0)</f>
        <v>#N/A</v>
      </c>
      <c r="M209" s="21" t="e">
        <f>VLOOKUP(C209,Sheet2!A:N,12,0)</f>
        <v>#N/A</v>
      </c>
      <c r="N209" s="18" t="e">
        <f>VLOOKUP(C209,Sheet2!A:N,13,0)</f>
        <v>#N/A</v>
      </c>
      <c r="O209" s="21" t="e">
        <f>VLOOKUP(C209,Sheet2!A:N,14,0)</f>
        <v>#N/A</v>
      </c>
    </row>
    <row r="210" spans="1:15" x14ac:dyDescent="0.25">
      <c r="C210" s="18" t="e">
        <f>VLOOKUP(A210,Sheet1!C:F,2,0)</f>
        <v>#N/A</v>
      </c>
      <c r="E210" s="18" t="e">
        <f>VLOOKUP(C210,Sheet2!A:N,4,0)</f>
        <v>#N/A</v>
      </c>
      <c r="F210" s="18" t="e">
        <f>VLOOKUP(C210,Sheet2!A:N,5,0)</f>
        <v>#N/A</v>
      </c>
      <c r="G210" s="18" t="e">
        <f>VLOOKUP(C210,Sheet2!A:N,6,0)</f>
        <v>#N/A</v>
      </c>
      <c r="H210" s="18" t="e">
        <f>VLOOKUP(C210,Sheet2!A:N,7,0)</f>
        <v>#N/A</v>
      </c>
      <c r="I210" s="18" t="e">
        <f>VLOOKUP(C210,Sheet2!A:N,8,0)</f>
        <v>#N/A</v>
      </c>
      <c r="J210" s="18" t="e">
        <f>VLOOKUP(C210,Sheet2!A:N,9,0)</f>
        <v>#N/A</v>
      </c>
      <c r="K210" s="18" t="e">
        <f>VLOOKUP(C210,Sheet2!A:N,10,0)</f>
        <v>#N/A</v>
      </c>
      <c r="L210" s="20" t="e">
        <f>VLOOKUP(C210,Sheet2!A:N,11,0)</f>
        <v>#N/A</v>
      </c>
      <c r="M210" s="21" t="e">
        <f>VLOOKUP(C210,Sheet2!A:N,12,0)</f>
        <v>#N/A</v>
      </c>
      <c r="N210" s="18" t="e">
        <f>VLOOKUP(C210,Sheet2!A:N,13,0)</f>
        <v>#N/A</v>
      </c>
      <c r="O210" s="21" t="e">
        <f>VLOOKUP(C210,Sheet2!A:N,14,0)</f>
        <v>#N/A</v>
      </c>
    </row>
    <row r="211" spans="1:15" x14ac:dyDescent="0.25">
      <c r="C211" s="18" t="e">
        <f>VLOOKUP(A211,Sheet1!C:F,2,0)</f>
        <v>#N/A</v>
      </c>
      <c r="E211" s="18" t="e">
        <f>VLOOKUP(C211,Sheet2!A:N,4,0)</f>
        <v>#N/A</v>
      </c>
      <c r="F211" s="18" t="e">
        <f>VLOOKUP(C211,Sheet2!A:N,5,0)</f>
        <v>#N/A</v>
      </c>
      <c r="G211" s="18" t="e">
        <f>VLOOKUP(C211,Sheet2!A:N,6,0)</f>
        <v>#N/A</v>
      </c>
      <c r="H211" s="18" t="e">
        <f>VLOOKUP(C211,Sheet2!A:N,7,0)</f>
        <v>#N/A</v>
      </c>
      <c r="I211" s="18" t="e">
        <f>VLOOKUP(C211,Sheet2!A:N,8,0)</f>
        <v>#N/A</v>
      </c>
      <c r="J211" s="18" t="e">
        <f>VLOOKUP(C211,Sheet2!A:N,9,0)</f>
        <v>#N/A</v>
      </c>
      <c r="K211" s="18" t="e">
        <f>VLOOKUP(C211,Sheet2!A:N,10,0)</f>
        <v>#N/A</v>
      </c>
      <c r="L211" s="20" t="e">
        <f>VLOOKUP(C211,Sheet2!A:N,11,0)</f>
        <v>#N/A</v>
      </c>
      <c r="M211" s="21" t="e">
        <f>VLOOKUP(C211,Sheet2!A:N,12,0)</f>
        <v>#N/A</v>
      </c>
      <c r="N211" s="18" t="e">
        <f>VLOOKUP(C211,Sheet2!A:N,13,0)</f>
        <v>#N/A</v>
      </c>
      <c r="O211" s="21" t="e">
        <f>VLOOKUP(C211,Sheet2!A:N,14,0)</f>
        <v>#N/A</v>
      </c>
    </row>
    <row r="212" spans="1:15" x14ac:dyDescent="0.25">
      <c r="C212" s="18" t="e">
        <f>VLOOKUP(A212,Sheet1!C:F,2,0)</f>
        <v>#N/A</v>
      </c>
      <c r="E212" s="18" t="e">
        <f>VLOOKUP(C212,Sheet2!A:N,4,0)</f>
        <v>#N/A</v>
      </c>
      <c r="F212" s="18" t="e">
        <f>VLOOKUP(C212,Sheet2!A:N,5,0)</f>
        <v>#N/A</v>
      </c>
      <c r="G212" s="18" t="e">
        <f>VLOOKUP(C212,Sheet2!A:N,6,0)</f>
        <v>#N/A</v>
      </c>
      <c r="H212" s="18" t="e">
        <f>VLOOKUP(C212,Sheet2!A:N,7,0)</f>
        <v>#N/A</v>
      </c>
      <c r="I212" s="18" t="e">
        <f>VLOOKUP(C212,Sheet2!A:N,8,0)</f>
        <v>#N/A</v>
      </c>
      <c r="J212" s="18" t="e">
        <f>VLOOKUP(C212,Sheet2!A:N,9,0)</f>
        <v>#N/A</v>
      </c>
      <c r="K212" s="18" t="e">
        <f>VLOOKUP(C212,Sheet2!A:N,10,0)</f>
        <v>#N/A</v>
      </c>
      <c r="L212" s="20" t="e">
        <f>VLOOKUP(C212,Sheet2!A:N,11,0)</f>
        <v>#N/A</v>
      </c>
      <c r="M212" s="21" t="e">
        <f>VLOOKUP(C212,Sheet2!A:N,12,0)</f>
        <v>#N/A</v>
      </c>
      <c r="N212" s="18" t="e">
        <f>VLOOKUP(C212,Sheet2!A:N,13,0)</f>
        <v>#N/A</v>
      </c>
      <c r="O212" s="21" t="e">
        <f>VLOOKUP(C212,Sheet2!A:N,14,0)</f>
        <v>#N/A</v>
      </c>
    </row>
    <row r="213" spans="1:15" x14ac:dyDescent="0.25">
      <c r="C213" s="18" t="e">
        <f>VLOOKUP(A213,Sheet1!C:F,2,0)</f>
        <v>#N/A</v>
      </c>
      <c r="E213" s="18" t="e">
        <f>VLOOKUP(C213,Sheet2!A:N,4,0)</f>
        <v>#N/A</v>
      </c>
      <c r="F213" s="18" t="e">
        <f>VLOOKUP(C213,Sheet2!A:N,5,0)</f>
        <v>#N/A</v>
      </c>
      <c r="G213" s="18" t="e">
        <f>VLOOKUP(C213,Sheet2!A:N,6,0)</f>
        <v>#N/A</v>
      </c>
      <c r="H213" s="18" t="e">
        <f>VLOOKUP(C213,Sheet2!A:N,7,0)</f>
        <v>#N/A</v>
      </c>
      <c r="I213" s="18" t="e">
        <f>VLOOKUP(C213,Sheet2!A:N,8,0)</f>
        <v>#N/A</v>
      </c>
      <c r="J213" s="18" t="e">
        <f>VLOOKUP(C213,Sheet2!A:N,9,0)</f>
        <v>#N/A</v>
      </c>
      <c r="K213" s="18" t="e">
        <f>VLOOKUP(C213,Sheet2!A:N,10,0)</f>
        <v>#N/A</v>
      </c>
      <c r="L213" s="20" t="e">
        <f>VLOOKUP(C213,Sheet2!A:N,11,0)</f>
        <v>#N/A</v>
      </c>
      <c r="M213" s="21" t="e">
        <f>VLOOKUP(C213,Sheet2!A:N,12,0)</f>
        <v>#N/A</v>
      </c>
      <c r="N213" s="18" t="e">
        <f>VLOOKUP(C213,Sheet2!A:N,13,0)</f>
        <v>#N/A</v>
      </c>
      <c r="O213" s="21" t="e">
        <f>VLOOKUP(C213,Sheet2!A:N,14,0)</f>
        <v>#N/A</v>
      </c>
    </row>
    <row r="214" spans="1:15" x14ac:dyDescent="0.25">
      <c r="C214" s="18" t="e">
        <f>VLOOKUP(A214,Sheet1!C:F,2,0)</f>
        <v>#N/A</v>
      </c>
      <c r="E214" s="18" t="e">
        <f>VLOOKUP(C214,Sheet2!A:N,4,0)</f>
        <v>#N/A</v>
      </c>
      <c r="F214" s="18" t="e">
        <f>VLOOKUP(C214,Sheet2!A:N,5,0)</f>
        <v>#N/A</v>
      </c>
      <c r="G214" s="18" t="e">
        <f>VLOOKUP(C214,Sheet2!A:N,6,0)</f>
        <v>#N/A</v>
      </c>
      <c r="H214" s="18" t="e">
        <f>VLOOKUP(C214,Sheet2!A:N,7,0)</f>
        <v>#N/A</v>
      </c>
      <c r="I214" s="18" t="e">
        <f>VLOOKUP(C214,Sheet2!A:N,8,0)</f>
        <v>#N/A</v>
      </c>
      <c r="J214" s="18" t="e">
        <f>VLOOKUP(C214,Sheet2!A:N,9,0)</f>
        <v>#N/A</v>
      </c>
      <c r="K214" s="18" t="e">
        <f>VLOOKUP(C214,Sheet2!A:N,10,0)</f>
        <v>#N/A</v>
      </c>
      <c r="L214" s="20" t="e">
        <f>VLOOKUP(C214,Sheet2!A:N,11,0)</f>
        <v>#N/A</v>
      </c>
      <c r="M214" s="21" t="e">
        <f>VLOOKUP(C214,Sheet2!A:N,12,0)</f>
        <v>#N/A</v>
      </c>
      <c r="N214" s="18" t="e">
        <f>VLOOKUP(C214,Sheet2!A:N,13,0)</f>
        <v>#N/A</v>
      </c>
      <c r="O214" s="21" t="e">
        <f>VLOOKUP(C214,Sheet2!A:N,14,0)</f>
        <v>#N/A</v>
      </c>
    </row>
    <row r="215" spans="1:15" x14ac:dyDescent="0.25">
      <c r="C215" s="18" t="e">
        <f>VLOOKUP(A215,Sheet1!C:F,2,0)</f>
        <v>#N/A</v>
      </c>
      <c r="E215" s="18" t="e">
        <f>VLOOKUP(C215,Sheet2!A:N,4,0)</f>
        <v>#N/A</v>
      </c>
      <c r="F215" s="18" t="e">
        <f>VLOOKUP(C215,Sheet2!A:N,5,0)</f>
        <v>#N/A</v>
      </c>
      <c r="G215" s="18" t="e">
        <f>VLOOKUP(C215,Sheet2!A:N,6,0)</f>
        <v>#N/A</v>
      </c>
      <c r="H215" s="18" t="e">
        <f>VLOOKUP(C215,Sheet2!A:N,7,0)</f>
        <v>#N/A</v>
      </c>
      <c r="I215" s="18" t="e">
        <f>VLOOKUP(C215,Sheet2!A:N,8,0)</f>
        <v>#N/A</v>
      </c>
      <c r="J215" s="18" t="e">
        <f>VLOOKUP(C215,Sheet2!A:N,9,0)</f>
        <v>#N/A</v>
      </c>
      <c r="K215" s="18" t="e">
        <f>VLOOKUP(C215,Sheet2!A:N,10,0)</f>
        <v>#N/A</v>
      </c>
      <c r="L215" s="20" t="e">
        <f>VLOOKUP(C215,Sheet2!A:N,11,0)</f>
        <v>#N/A</v>
      </c>
      <c r="M215" s="21" t="e">
        <f>VLOOKUP(C215,Sheet2!A:N,12,0)</f>
        <v>#N/A</v>
      </c>
      <c r="N215" s="18" t="e">
        <f>VLOOKUP(C215,Sheet2!A:N,13,0)</f>
        <v>#N/A</v>
      </c>
      <c r="O215" s="21" t="e">
        <f>VLOOKUP(C215,Sheet2!A:N,14,0)</f>
        <v>#N/A</v>
      </c>
    </row>
    <row r="216" spans="1:15" x14ac:dyDescent="0.25">
      <c r="C216" s="18" t="e">
        <f>VLOOKUP(A216,Sheet1!C:F,2,0)</f>
        <v>#N/A</v>
      </c>
      <c r="E216" s="18" t="e">
        <f>VLOOKUP(C216,Sheet2!A:N,4,0)</f>
        <v>#N/A</v>
      </c>
      <c r="F216" s="18" t="e">
        <f>VLOOKUP(C216,Sheet2!A:N,5,0)</f>
        <v>#N/A</v>
      </c>
      <c r="G216" s="18" t="e">
        <f>VLOOKUP(C216,Sheet2!A:N,6,0)</f>
        <v>#N/A</v>
      </c>
      <c r="H216" s="18" t="e">
        <f>VLOOKUP(C216,Sheet2!A:N,7,0)</f>
        <v>#N/A</v>
      </c>
      <c r="I216" s="18" t="e">
        <f>VLOOKUP(C216,Sheet2!A:N,8,0)</f>
        <v>#N/A</v>
      </c>
      <c r="J216" s="18" t="e">
        <f>VLOOKUP(C216,Sheet2!A:N,9,0)</f>
        <v>#N/A</v>
      </c>
      <c r="K216" s="18" t="e">
        <f>VLOOKUP(C216,Sheet2!A:N,10,0)</f>
        <v>#N/A</v>
      </c>
      <c r="L216" s="20" t="e">
        <f>VLOOKUP(C216,Sheet2!A:N,11,0)</f>
        <v>#N/A</v>
      </c>
      <c r="M216" s="21" t="e">
        <f>VLOOKUP(C216,Sheet2!A:N,12,0)</f>
        <v>#N/A</v>
      </c>
      <c r="N216" s="18" t="e">
        <f>VLOOKUP(C216,Sheet2!A:N,13,0)</f>
        <v>#N/A</v>
      </c>
      <c r="O216" s="21" t="e">
        <f>VLOOKUP(C216,Sheet2!A:N,14,0)</f>
        <v>#N/A</v>
      </c>
    </row>
    <row r="217" spans="1:15" x14ac:dyDescent="0.25">
      <c r="C217" s="18" t="e">
        <f>VLOOKUP(A217,Sheet1!C:F,2,0)</f>
        <v>#N/A</v>
      </c>
      <c r="E217" s="18" t="e">
        <f>VLOOKUP(C217,Sheet2!A:N,4,0)</f>
        <v>#N/A</v>
      </c>
      <c r="F217" s="18" t="e">
        <f>VLOOKUP(C217,Sheet2!A:N,5,0)</f>
        <v>#N/A</v>
      </c>
      <c r="G217" s="18" t="e">
        <f>VLOOKUP(C217,Sheet2!A:N,6,0)</f>
        <v>#N/A</v>
      </c>
      <c r="H217" s="18" t="e">
        <f>VLOOKUP(C217,Sheet2!A:N,7,0)</f>
        <v>#N/A</v>
      </c>
      <c r="I217" s="18" t="e">
        <f>VLOOKUP(C217,Sheet2!A:N,8,0)</f>
        <v>#N/A</v>
      </c>
      <c r="J217" s="18" t="e">
        <f>VLOOKUP(C217,Sheet2!A:N,9,0)</f>
        <v>#N/A</v>
      </c>
      <c r="K217" s="18" t="e">
        <f>VLOOKUP(C217,Sheet2!A:N,10,0)</f>
        <v>#N/A</v>
      </c>
      <c r="L217" s="20" t="e">
        <f>VLOOKUP(C217,Sheet2!A:N,11,0)</f>
        <v>#N/A</v>
      </c>
      <c r="M217" s="21" t="e">
        <f>VLOOKUP(C217,Sheet2!A:N,12,0)</f>
        <v>#N/A</v>
      </c>
      <c r="N217" s="18" t="e">
        <f>VLOOKUP(C217,Sheet2!A:N,13,0)</f>
        <v>#N/A</v>
      </c>
      <c r="O217" s="21" t="e">
        <f>VLOOKUP(C217,Sheet2!A:N,14,0)</f>
        <v>#N/A</v>
      </c>
    </row>
    <row r="218" spans="1:15" x14ac:dyDescent="0.25">
      <c r="C218" s="18" t="e">
        <f>VLOOKUP(A218,Sheet1!C:F,2,0)</f>
        <v>#N/A</v>
      </c>
      <c r="E218" s="18" t="e">
        <f>VLOOKUP(C218,Sheet2!A:N,4,0)</f>
        <v>#N/A</v>
      </c>
      <c r="F218" s="18" t="e">
        <f>VLOOKUP(C218,Sheet2!A:N,5,0)</f>
        <v>#N/A</v>
      </c>
      <c r="G218" s="18" t="e">
        <f>VLOOKUP(C218,Sheet2!A:N,6,0)</f>
        <v>#N/A</v>
      </c>
      <c r="H218" s="18" t="e">
        <f>VLOOKUP(C218,Sheet2!A:N,7,0)</f>
        <v>#N/A</v>
      </c>
      <c r="I218" s="18" t="e">
        <f>VLOOKUP(C218,Sheet2!A:N,8,0)</f>
        <v>#N/A</v>
      </c>
      <c r="J218" s="18" t="e">
        <f>VLOOKUP(C218,Sheet2!A:N,9,0)</f>
        <v>#N/A</v>
      </c>
      <c r="K218" s="18" t="e">
        <f>VLOOKUP(C218,Sheet2!A:N,10,0)</f>
        <v>#N/A</v>
      </c>
      <c r="L218" s="20" t="e">
        <f>VLOOKUP(C218,Sheet2!A:N,11,0)</f>
        <v>#N/A</v>
      </c>
      <c r="M218" s="21" t="e">
        <f>VLOOKUP(C218,Sheet2!A:N,12,0)</f>
        <v>#N/A</v>
      </c>
      <c r="N218" s="18" t="e">
        <f>VLOOKUP(C218,Sheet2!A:N,13,0)</f>
        <v>#N/A</v>
      </c>
      <c r="O218" s="21" t="e">
        <f>VLOOKUP(C218,Sheet2!A:N,14,0)</f>
        <v>#N/A</v>
      </c>
    </row>
    <row r="219" spans="1:15" x14ac:dyDescent="0.25">
      <c r="C219" s="18" t="e">
        <f>VLOOKUP(A219,Sheet1!C:F,2,0)</f>
        <v>#N/A</v>
      </c>
      <c r="E219" s="18" t="e">
        <f>VLOOKUP(C219,Sheet2!A:N,4,0)</f>
        <v>#N/A</v>
      </c>
      <c r="F219" s="18" t="e">
        <f>VLOOKUP(C219,Sheet2!A:N,5,0)</f>
        <v>#N/A</v>
      </c>
      <c r="G219" s="18" t="e">
        <f>VLOOKUP(C219,Sheet2!A:N,6,0)</f>
        <v>#N/A</v>
      </c>
      <c r="H219" s="18" t="e">
        <f>VLOOKUP(C219,Sheet2!A:N,7,0)</f>
        <v>#N/A</v>
      </c>
      <c r="I219" s="18" t="e">
        <f>VLOOKUP(C219,Sheet2!A:N,8,0)</f>
        <v>#N/A</v>
      </c>
      <c r="J219" s="18" t="e">
        <f>VLOOKUP(C219,Sheet2!A:N,9,0)</f>
        <v>#N/A</v>
      </c>
      <c r="K219" s="18" t="e">
        <f>VLOOKUP(C219,Sheet2!A:N,10,0)</f>
        <v>#N/A</v>
      </c>
      <c r="L219" s="20" t="e">
        <f>VLOOKUP(C219,Sheet2!A:N,11,0)</f>
        <v>#N/A</v>
      </c>
      <c r="M219" s="21" t="e">
        <f>VLOOKUP(C219,Sheet2!A:N,12,0)</f>
        <v>#N/A</v>
      </c>
      <c r="N219" s="18" t="e">
        <f>VLOOKUP(C219,Sheet2!A:N,13,0)</f>
        <v>#N/A</v>
      </c>
      <c r="O219" s="21" t="e">
        <f>VLOOKUP(C219,Sheet2!A:N,14,0)</f>
        <v>#N/A</v>
      </c>
    </row>
    <row r="220" spans="1:15" x14ac:dyDescent="0.25">
      <c r="E220" s="18">
        <f>VLOOKUP(C220,Sheet2!A:N,4,0)</f>
        <v>0</v>
      </c>
      <c r="F220" s="18">
        <f>VLOOKUP(C220,Sheet2!A:N,5,0)</f>
        <v>0</v>
      </c>
      <c r="G220" s="18">
        <f>VLOOKUP(C220,Sheet2!A:N,6,0)</f>
        <v>0</v>
      </c>
      <c r="H220" s="18">
        <f>VLOOKUP(C220,Sheet2!A:N,7,0)</f>
        <v>0</v>
      </c>
      <c r="I220" s="18">
        <f>VLOOKUP(C220,Sheet2!A:N,8,0)</f>
        <v>0</v>
      </c>
      <c r="J220" s="18">
        <f>VLOOKUP(C220,Sheet2!A:N,9,0)</f>
        <v>0</v>
      </c>
      <c r="K220" s="18">
        <f>VLOOKUP(C220,Sheet2!A:N,10,0)</f>
        <v>0</v>
      </c>
      <c r="L220" s="20">
        <f>VLOOKUP(C220,Sheet2!A:N,11,0)</f>
        <v>0</v>
      </c>
      <c r="M220" s="21">
        <f>VLOOKUP(C220,Sheet2!A:N,12,0)</f>
        <v>0</v>
      </c>
      <c r="N220" s="18">
        <f>VLOOKUP(C220,Sheet2!A:N,13,0)</f>
        <v>0</v>
      </c>
      <c r="O220" s="21">
        <f>VLOOKUP(C220,Sheet2!A:N,14,0)</f>
        <v>0</v>
      </c>
    </row>
    <row r="221" spans="1:15" x14ac:dyDescent="0.25">
      <c r="E221" s="18">
        <f>VLOOKUP(C221,Sheet2!A:N,4,0)</f>
        <v>0</v>
      </c>
      <c r="F221" s="18">
        <f>VLOOKUP(C221,Sheet2!A:N,5,0)</f>
        <v>0</v>
      </c>
      <c r="G221" s="18">
        <f>VLOOKUP(C221,Sheet2!A:N,6,0)</f>
        <v>0</v>
      </c>
      <c r="H221" s="18">
        <f>VLOOKUP(C221,Sheet2!A:N,7,0)</f>
        <v>0</v>
      </c>
      <c r="I221" s="18">
        <f>VLOOKUP(C221,Sheet2!A:N,8,0)</f>
        <v>0</v>
      </c>
      <c r="J221" s="18">
        <f>VLOOKUP(C221,Sheet2!A:N,9,0)</f>
        <v>0</v>
      </c>
      <c r="K221" s="18">
        <f>VLOOKUP(C221,Sheet2!A:N,10,0)</f>
        <v>0</v>
      </c>
      <c r="L221" s="20">
        <f>VLOOKUP(C221,Sheet2!A:N,11,0)</f>
        <v>0</v>
      </c>
      <c r="M221" s="21">
        <f>VLOOKUP(C221,Sheet2!A:N,12,0)</f>
        <v>0</v>
      </c>
      <c r="N221" s="18">
        <f>VLOOKUP(C221,Sheet2!A:N,13,0)</f>
        <v>0</v>
      </c>
      <c r="O221" s="21">
        <f>VLOOKUP(C221,Sheet2!A:N,14,0)</f>
        <v>0</v>
      </c>
    </row>
    <row r="222" spans="1:15" x14ac:dyDescent="0.25">
      <c r="C222" s="18" t="e">
        <f>VLOOKUP(A222,Sheet1!C:F,2,0)</f>
        <v>#N/A</v>
      </c>
      <c r="E222" s="18" t="e">
        <f>VLOOKUP(C222,Sheet2!A:N,4,0)</f>
        <v>#N/A</v>
      </c>
      <c r="F222" s="18" t="e">
        <f>VLOOKUP(C222,Sheet2!A:N,5,0)</f>
        <v>#N/A</v>
      </c>
      <c r="G222" s="18" t="e">
        <f>VLOOKUP(C222,Sheet2!A:N,6,0)</f>
        <v>#N/A</v>
      </c>
      <c r="H222" s="18" t="e">
        <f>VLOOKUP(C222,Sheet2!A:N,7,0)</f>
        <v>#N/A</v>
      </c>
      <c r="I222" s="18" t="e">
        <f>VLOOKUP(C222,Sheet2!A:N,8,0)</f>
        <v>#N/A</v>
      </c>
      <c r="J222" s="18" t="e">
        <f>VLOOKUP(C222,Sheet2!A:N,9,0)</f>
        <v>#N/A</v>
      </c>
      <c r="K222" s="18" t="e">
        <f>VLOOKUP(C222,Sheet2!A:N,10,0)</f>
        <v>#N/A</v>
      </c>
      <c r="L222" s="20" t="e">
        <f>VLOOKUP(C222,Sheet2!A:N,11,0)</f>
        <v>#N/A</v>
      </c>
      <c r="M222" s="21" t="e">
        <f>VLOOKUP(C222,Sheet2!A:N,12,0)</f>
        <v>#N/A</v>
      </c>
      <c r="N222" s="18" t="e">
        <f>VLOOKUP(C222,Sheet2!A:N,13,0)</f>
        <v>#N/A</v>
      </c>
      <c r="O222" s="21" t="e">
        <f>VLOOKUP(C222,Sheet2!A:N,14,0)</f>
        <v>#N/A</v>
      </c>
    </row>
    <row r="223" spans="1:15" x14ac:dyDescent="0.25">
      <c r="C223" s="18" t="e">
        <f>VLOOKUP(A223,Sheet1!C:F,2,0)</f>
        <v>#N/A</v>
      </c>
      <c r="E223" s="18" t="e">
        <f>VLOOKUP(C223,Sheet2!A:N,4,0)</f>
        <v>#N/A</v>
      </c>
      <c r="F223" s="18" t="e">
        <f>VLOOKUP(C223,Sheet2!A:N,5,0)</f>
        <v>#N/A</v>
      </c>
      <c r="G223" s="18" t="e">
        <f>VLOOKUP(C223,Sheet2!A:N,6,0)</f>
        <v>#N/A</v>
      </c>
      <c r="H223" s="18" t="e">
        <f>VLOOKUP(C223,Sheet2!A:N,7,0)</f>
        <v>#N/A</v>
      </c>
      <c r="I223" s="18" t="e">
        <f>VLOOKUP(C223,Sheet2!A:N,8,0)</f>
        <v>#N/A</v>
      </c>
      <c r="J223" s="18" t="e">
        <f>VLOOKUP(C223,Sheet2!A:N,9,0)</f>
        <v>#N/A</v>
      </c>
      <c r="K223" s="18" t="e">
        <f>VLOOKUP(C223,Sheet2!A:N,10,0)</f>
        <v>#N/A</v>
      </c>
      <c r="L223" s="20" t="e">
        <f>VLOOKUP(C223,Sheet2!A:N,11,0)</f>
        <v>#N/A</v>
      </c>
      <c r="M223" s="21" t="e">
        <f>VLOOKUP(C223,Sheet2!A:N,12,0)</f>
        <v>#N/A</v>
      </c>
      <c r="N223" s="18" t="e">
        <f>VLOOKUP(C223,Sheet2!A:N,13,0)</f>
        <v>#N/A</v>
      </c>
      <c r="O223" s="21" t="e">
        <f>VLOOKUP(C223,Sheet2!A:N,14,0)</f>
        <v>#N/A</v>
      </c>
    </row>
    <row r="224" spans="1:15" x14ac:dyDescent="0.25">
      <c r="A224" s="18" t="s">
        <v>842</v>
      </c>
      <c r="B224" s="18" t="s">
        <v>843</v>
      </c>
      <c r="C224" s="29" t="str">
        <f>VLOOKUP(A224,Sheet1!C:F,2,0)</f>
        <v>صندوق بلتون وفرة شريعة</v>
      </c>
      <c r="D224" s="29"/>
      <c r="E224" s="29">
        <v>1.82</v>
      </c>
      <c r="F224" s="29">
        <v>1.82</v>
      </c>
      <c r="G224" s="29">
        <v>1.82</v>
      </c>
      <c r="H224" s="29">
        <v>1.82</v>
      </c>
      <c r="I224" s="29">
        <v>1.82</v>
      </c>
      <c r="J224" s="29">
        <v>1.82</v>
      </c>
      <c r="K224" s="29">
        <v>1.82</v>
      </c>
      <c r="L224" s="29">
        <v>1.82</v>
      </c>
      <c r="M224" s="30" t="e">
        <f>VLOOKUP(C224,Sheet2!A:N,12,0)</f>
        <v>#N/A</v>
      </c>
      <c r="N224" s="29" t="e">
        <f>VLOOKUP(C224,Sheet2!A:N,13,0)</f>
        <v>#N/A</v>
      </c>
      <c r="O224" s="30" t="e">
        <f>VLOOKUP(C224,Sheet2!A:N,14,0)</f>
        <v>#N/A</v>
      </c>
    </row>
    <row r="225" spans="1:15" x14ac:dyDescent="0.25">
      <c r="C225" s="18" t="e">
        <f>VLOOKUP(A225,Sheet1!C:F,2,0)</f>
        <v>#N/A</v>
      </c>
      <c r="E225" s="18" t="e">
        <f>VLOOKUP(C225,Sheet2!A:N,4,0)</f>
        <v>#N/A</v>
      </c>
      <c r="F225" s="18" t="e">
        <f>VLOOKUP(C225,Sheet2!A:N,5,0)</f>
        <v>#N/A</v>
      </c>
      <c r="G225" s="18" t="e">
        <f>VLOOKUP(C225,Sheet2!A:N,6,0)</f>
        <v>#N/A</v>
      </c>
      <c r="H225" s="18" t="e">
        <f>VLOOKUP(C225,Sheet2!A:N,7,0)</f>
        <v>#N/A</v>
      </c>
      <c r="I225" s="18" t="e">
        <f>VLOOKUP(C225,Sheet2!A:N,8,0)</f>
        <v>#N/A</v>
      </c>
      <c r="J225" s="18" t="e">
        <f>VLOOKUP(C225,Sheet2!A:N,9,0)</f>
        <v>#N/A</v>
      </c>
      <c r="K225" s="18" t="e">
        <f>VLOOKUP(C225,Sheet2!A:N,10,0)</f>
        <v>#N/A</v>
      </c>
      <c r="L225" s="20" t="e">
        <f>VLOOKUP(C225,Sheet2!A:N,11,0)</f>
        <v>#N/A</v>
      </c>
      <c r="M225" s="21" t="e">
        <f>VLOOKUP(C225,Sheet2!A:N,12,0)</f>
        <v>#N/A</v>
      </c>
      <c r="N225" s="18" t="e">
        <f>VLOOKUP(C225,Sheet2!A:N,13,0)</f>
        <v>#N/A</v>
      </c>
      <c r="O225" s="21" t="e">
        <f>VLOOKUP(C225,Sheet2!A:N,14,0)</f>
        <v>#N/A</v>
      </c>
    </row>
    <row r="226" spans="1:15" x14ac:dyDescent="0.25">
      <c r="C226" s="18" t="e">
        <f>VLOOKUP(A226,Sheet1!C:F,2,0)</f>
        <v>#N/A</v>
      </c>
      <c r="E226" s="18" t="e">
        <f>VLOOKUP(C226,Sheet2!A:N,4,0)</f>
        <v>#N/A</v>
      </c>
      <c r="F226" s="18" t="e">
        <f>VLOOKUP(C226,Sheet2!A:N,5,0)</f>
        <v>#N/A</v>
      </c>
      <c r="G226" s="18" t="e">
        <f>VLOOKUP(C226,Sheet2!A:N,6,0)</f>
        <v>#N/A</v>
      </c>
      <c r="H226" s="18" t="e">
        <f>VLOOKUP(C226,Sheet2!A:N,7,0)</f>
        <v>#N/A</v>
      </c>
      <c r="I226" s="18" t="e">
        <f>VLOOKUP(C226,Sheet2!A:N,8,0)</f>
        <v>#N/A</v>
      </c>
      <c r="J226" s="18" t="e">
        <f>VLOOKUP(C226,Sheet2!A:N,9,0)</f>
        <v>#N/A</v>
      </c>
      <c r="K226" s="18" t="e">
        <f>VLOOKUP(C226,Sheet2!A:N,10,0)</f>
        <v>#N/A</v>
      </c>
      <c r="L226" s="20" t="e">
        <f>VLOOKUP(C226,Sheet2!A:N,11,0)</f>
        <v>#N/A</v>
      </c>
      <c r="M226" s="21" t="e">
        <f>VLOOKUP(C226,Sheet2!A:N,12,0)</f>
        <v>#N/A</v>
      </c>
      <c r="N226" s="18" t="e">
        <f>VLOOKUP(C226,Sheet2!A:N,13,0)</f>
        <v>#N/A</v>
      </c>
      <c r="O226" s="21" t="e">
        <f>VLOOKUP(C226,Sheet2!A:N,14,0)</f>
        <v>#N/A</v>
      </c>
    </row>
    <row r="227" spans="1:15" x14ac:dyDescent="0.25">
      <c r="C227" s="18" t="e">
        <f>VLOOKUP(A227,Sheet1!C:F,2,0)</f>
        <v>#N/A</v>
      </c>
      <c r="E227" s="18" t="e">
        <f>VLOOKUP(C227,Sheet2!A:N,4,0)</f>
        <v>#N/A</v>
      </c>
      <c r="F227" s="18" t="e">
        <f>VLOOKUP(C227,Sheet2!A:N,5,0)</f>
        <v>#N/A</v>
      </c>
      <c r="G227" s="18" t="e">
        <f>VLOOKUP(C227,Sheet2!A:N,6,0)</f>
        <v>#N/A</v>
      </c>
      <c r="H227" s="18" t="e">
        <f>VLOOKUP(C227,Sheet2!A:N,7,0)</f>
        <v>#N/A</v>
      </c>
      <c r="I227" s="18" t="e">
        <f>VLOOKUP(C227,Sheet2!A:N,8,0)</f>
        <v>#N/A</v>
      </c>
      <c r="J227" s="18" t="e">
        <f>VLOOKUP(C227,Sheet2!A:N,9,0)</f>
        <v>#N/A</v>
      </c>
      <c r="K227" s="18" t="e">
        <f>VLOOKUP(C227,Sheet2!A:N,10,0)</f>
        <v>#N/A</v>
      </c>
      <c r="L227" s="20" t="e">
        <f>VLOOKUP(C227,Sheet2!A:N,11,0)</f>
        <v>#N/A</v>
      </c>
      <c r="M227" s="21" t="e">
        <f>VLOOKUP(C227,Sheet2!A:N,12,0)</f>
        <v>#N/A</v>
      </c>
      <c r="N227" s="18" t="e">
        <f>VLOOKUP(C227,Sheet2!A:N,13,0)</f>
        <v>#N/A</v>
      </c>
      <c r="O227" s="21" t="e">
        <f>VLOOKUP(C227,Sheet2!A:N,14,0)</f>
        <v>#N/A</v>
      </c>
    </row>
    <row r="228" spans="1:15" x14ac:dyDescent="0.25">
      <c r="C228" s="18" t="e">
        <f>VLOOKUP(A228,Sheet1!C:F,2,0)</f>
        <v>#N/A</v>
      </c>
      <c r="E228" s="18" t="e">
        <f>VLOOKUP(C228,Sheet2!A:N,4,0)</f>
        <v>#N/A</v>
      </c>
      <c r="F228" s="18" t="e">
        <f>VLOOKUP(C228,Sheet2!A:N,5,0)</f>
        <v>#N/A</v>
      </c>
      <c r="G228" s="18" t="e">
        <f>VLOOKUP(C228,Sheet2!A:N,6,0)</f>
        <v>#N/A</v>
      </c>
      <c r="H228" s="18" t="e">
        <f>VLOOKUP(C228,Sheet2!A:N,7,0)</f>
        <v>#N/A</v>
      </c>
      <c r="I228" s="18" t="e">
        <f>VLOOKUP(C228,Sheet2!A:N,8,0)</f>
        <v>#N/A</v>
      </c>
      <c r="J228" s="18" t="e">
        <f>VLOOKUP(C228,Sheet2!A:N,9,0)</f>
        <v>#N/A</v>
      </c>
      <c r="K228" s="18" t="e">
        <f>VLOOKUP(C228,Sheet2!A:N,10,0)</f>
        <v>#N/A</v>
      </c>
      <c r="L228" s="20" t="e">
        <f>VLOOKUP(C228,Sheet2!A:N,11,0)</f>
        <v>#N/A</v>
      </c>
      <c r="M228" s="21" t="e">
        <f>VLOOKUP(C228,Sheet2!A:N,12,0)</f>
        <v>#N/A</v>
      </c>
      <c r="N228" s="18" t="e">
        <f>VLOOKUP(C228,Sheet2!A:N,13,0)</f>
        <v>#N/A</v>
      </c>
      <c r="O228" s="21" t="e">
        <f>VLOOKUP(C228,Sheet2!A:N,14,0)</f>
        <v>#N/A</v>
      </c>
    </row>
    <row r="229" spans="1:15" x14ac:dyDescent="0.25">
      <c r="C229" s="18" t="e">
        <f>VLOOKUP(A229,Sheet1!C:F,2,0)</f>
        <v>#N/A</v>
      </c>
      <c r="E229" s="18" t="e">
        <f>VLOOKUP(C229,Sheet2!A:N,4,0)</f>
        <v>#N/A</v>
      </c>
      <c r="F229" s="18" t="e">
        <f>VLOOKUP(C229,Sheet2!A:N,5,0)</f>
        <v>#N/A</v>
      </c>
      <c r="G229" s="18" t="e">
        <f>VLOOKUP(C229,Sheet2!A:N,6,0)</f>
        <v>#N/A</v>
      </c>
      <c r="H229" s="18" t="e">
        <f>VLOOKUP(C229,Sheet2!A:N,7,0)</f>
        <v>#N/A</v>
      </c>
      <c r="I229" s="18" t="e">
        <f>VLOOKUP(C229,Sheet2!A:N,8,0)</f>
        <v>#N/A</v>
      </c>
      <c r="J229" s="18" t="e">
        <f>VLOOKUP(C229,Sheet2!A:N,9,0)</f>
        <v>#N/A</v>
      </c>
      <c r="K229" s="18" t="e">
        <f>VLOOKUP(C229,Sheet2!A:N,10,0)</f>
        <v>#N/A</v>
      </c>
      <c r="L229" s="20" t="e">
        <f>VLOOKUP(C229,Sheet2!A:N,11,0)</f>
        <v>#N/A</v>
      </c>
      <c r="M229" s="21" t="e">
        <f>VLOOKUP(C229,Sheet2!A:N,12,0)</f>
        <v>#N/A</v>
      </c>
      <c r="N229" s="18" t="e">
        <f>VLOOKUP(C229,Sheet2!A:N,13,0)</f>
        <v>#N/A</v>
      </c>
      <c r="O229" s="21" t="e">
        <f>VLOOKUP(C229,Sheet2!A:N,14,0)</f>
        <v>#N/A</v>
      </c>
    </row>
    <row r="230" spans="1:15" x14ac:dyDescent="0.25">
      <c r="C230" s="18" t="e">
        <f>VLOOKUP(A230,Sheet1!C:F,2,0)</f>
        <v>#N/A</v>
      </c>
    </row>
    <row r="231" spans="1:15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</row>
    <row r="232" spans="1:15" x14ac:dyDescent="0.25">
      <c r="A232" s="18" t="s">
        <v>864</v>
      </c>
      <c r="B232" s="18" t="s">
        <v>847</v>
      </c>
      <c r="C232" s="18" t="s">
        <v>847</v>
      </c>
      <c r="E232" s="18">
        <f>VLOOKUP(C232,Sheet6!C:J,2,0)</f>
        <v>1.35</v>
      </c>
      <c r="G232" s="18">
        <f>VLOOKUP(C232,Sheet6!C:J,3,0)</f>
        <v>1.41</v>
      </c>
      <c r="H232" s="18">
        <f>VLOOKUP(C232,Sheet6!C:J,4,0)</f>
        <v>4.4400000000000004</v>
      </c>
      <c r="I232" s="18">
        <f>VLOOKUP(C232,Sheet6!C:J,3,0)</f>
        <v>1.41</v>
      </c>
      <c r="L232" s="18">
        <f>VLOOKUP(C232,Sheet6!C:J,5,0)</f>
        <v>444633.41</v>
      </c>
      <c r="O232" s="18">
        <f>VLOOKUP(C232,Sheet6!C:J,8,0)</f>
        <v>32</v>
      </c>
    </row>
    <row r="233" spans="1:15" x14ac:dyDescent="0.25">
      <c r="A233" s="18" t="s">
        <v>876</v>
      </c>
      <c r="B233" s="18" t="s">
        <v>848</v>
      </c>
      <c r="C233" s="18" t="s">
        <v>848</v>
      </c>
      <c r="E233" s="18">
        <f>VLOOKUP(C233,Sheet6!C:J,2,0)</f>
        <v>4.51</v>
      </c>
      <c r="G233" s="18">
        <f>VLOOKUP(C233,Sheet6!C:J,3,0)</f>
        <v>4.3899999999999997</v>
      </c>
      <c r="H233" s="18">
        <f>VLOOKUP(C233,Sheet6!C:J,4,0)</f>
        <v>-2.66</v>
      </c>
      <c r="I233" s="18">
        <f>VLOOKUP(C233,Sheet6!C:J,3,0)</f>
        <v>4.3899999999999997</v>
      </c>
      <c r="L233" s="18">
        <f>VLOOKUP(C233,Sheet6!C:J,5,0)</f>
        <v>919510.59</v>
      </c>
      <c r="O233" s="18">
        <f>VLOOKUP(C233,Sheet6!C:J,8,0)</f>
        <v>88</v>
      </c>
    </row>
    <row r="234" spans="1:15" x14ac:dyDescent="0.25">
      <c r="A234" s="18" t="s">
        <v>840</v>
      </c>
      <c r="B234" s="18" t="s">
        <v>841</v>
      </c>
      <c r="C234" s="18" t="s">
        <v>841</v>
      </c>
      <c r="E234" s="18">
        <f>VLOOKUP(C234,Sheet6!C:J,2,0)</f>
        <v>11.97</v>
      </c>
      <c r="G234" s="18">
        <f>VLOOKUP(C234,Sheet6!C:J,3,0)</f>
        <v>12</v>
      </c>
      <c r="H234" s="18">
        <f>VLOOKUP(C234,Sheet6!C:J,4,0)</f>
        <v>0.25</v>
      </c>
      <c r="I234" s="18">
        <f>VLOOKUP(C234,Sheet6!C:J,3,0)</f>
        <v>12</v>
      </c>
      <c r="L234" s="18">
        <f>VLOOKUP(C234,Sheet6!C:J,5,0)</f>
        <v>931708.23</v>
      </c>
      <c r="O234" s="18">
        <f>VLOOKUP(C234,Sheet6!C:J,8,0)</f>
        <v>292</v>
      </c>
    </row>
    <row r="235" spans="1:15" x14ac:dyDescent="0.25">
      <c r="A235" s="18" t="s">
        <v>873</v>
      </c>
      <c r="B235" s="18" t="s">
        <v>849</v>
      </c>
      <c r="C235" s="18" t="s">
        <v>849</v>
      </c>
      <c r="E235" s="18">
        <f>VLOOKUP(C235,Sheet6!C:J,2,0)</f>
        <v>2.84</v>
      </c>
      <c r="G235" s="18">
        <f>VLOOKUP(C235,Sheet6!C:J,3,0)</f>
        <v>2.84</v>
      </c>
      <c r="H235" s="18">
        <f>VLOOKUP(C235,Sheet6!C:J,4,0)</f>
        <v>0</v>
      </c>
      <c r="I235" s="18">
        <f>VLOOKUP(C235,Sheet6!C:J,3,0)</f>
        <v>2.84</v>
      </c>
      <c r="L235" s="18">
        <f>VLOOKUP(C235,Sheet6!C:J,5,0)</f>
        <v>101452.21</v>
      </c>
      <c r="O235" s="18">
        <f>VLOOKUP(C235,Sheet6!C:J,8,0)</f>
        <v>57</v>
      </c>
    </row>
    <row r="236" spans="1:15" x14ac:dyDescent="0.25">
      <c r="A236" s="18" t="s">
        <v>877</v>
      </c>
      <c r="B236" s="18" t="s">
        <v>850</v>
      </c>
      <c r="C236" s="18" t="s">
        <v>850</v>
      </c>
      <c r="E236" s="18">
        <f>VLOOKUP(C236,Sheet6!C:J,2,0)</f>
        <v>0.188</v>
      </c>
      <c r="G236" s="18">
        <f>VLOOKUP(C236,Sheet6!C:J,3,0)</f>
        <v>0.187</v>
      </c>
      <c r="H236" s="18">
        <f>VLOOKUP(C236,Sheet6!C:J,4,0)</f>
        <v>-0.53</v>
      </c>
      <c r="I236" s="18">
        <f>VLOOKUP(C236,Sheet6!C:J,3,0)</f>
        <v>0.187</v>
      </c>
      <c r="L236" s="18">
        <f>VLOOKUP(C236,Sheet6!C:J,5,0)</f>
        <v>621126.32999999996</v>
      </c>
      <c r="O236" s="18">
        <f>VLOOKUP(C236,Sheet6!C:J,8,0)</f>
        <v>61</v>
      </c>
    </row>
    <row r="237" spans="1:15" x14ac:dyDescent="0.25">
      <c r="A237" s="18" t="s">
        <v>865</v>
      </c>
      <c r="B237" s="18" t="s">
        <v>851</v>
      </c>
      <c r="C237" s="18" t="s">
        <v>851</v>
      </c>
      <c r="E237" s="18">
        <f>VLOOKUP(C237,Sheet6!C:J,2,0)</f>
        <v>80.44</v>
      </c>
      <c r="G237" s="18">
        <f>VLOOKUP(C237,Sheet6!C:J,3,0)</f>
        <v>80.180000000000007</v>
      </c>
      <c r="H237" s="18">
        <f>VLOOKUP(C237,Sheet6!C:J,4,0)</f>
        <v>-0.32</v>
      </c>
      <c r="I237" s="18">
        <f>VLOOKUP(C237,Sheet6!C:J,3,0)</f>
        <v>80.180000000000007</v>
      </c>
      <c r="L237" s="18">
        <f>VLOOKUP(C237,Sheet6!C:J,5,0)</f>
        <v>468058.33</v>
      </c>
      <c r="O237" s="18">
        <f>VLOOKUP(C237,Sheet6!C:J,8,0)</f>
        <v>241</v>
      </c>
    </row>
    <row r="238" spans="1:15" x14ac:dyDescent="0.25">
      <c r="A238" s="18" t="s">
        <v>872</v>
      </c>
      <c r="B238" s="18" t="s">
        <v>852</v>
      </c>
      <c r="C238" s="18" t="s">
        <v>852</v>
      </c>
      <c r="E238" s="18">
        <f>VLOOKUP(C238,Sheet6!C:J,2,0)</f>
        <v>2.63</v>
      </c>
      <c r="G238" s="18">
        <f>VLOOKUP(C238,Sheet6!C:J,3,0)</f>
        <v>2.59</v>
      </c>
      <c r="H238" s="18">
        <f>VLOOKUP(C238,Sheet6!C:J,4,0)</f>
        <v>-1.52</v>
      </c>
      <c r="I238" s="18">
        <f>VLOOKUP(C238,Sheet6!C:J,3,0)</f>
        <v>2.59</v>
      </c>
      <c r="L238" s="18">
        <f>VLOOKUP(C238,Sheet6!C:J,5,0)</f>
        <v>1284321.57</v>
      </c>
      <c r="O238" s="18">
        <f>VLOOKUP(C238,Sheet6!C:J,8,0)</f>
        <v>78</v>
      </c>
    </row>
    <row r="239" spans="1:15" x14ac:dyDescent="0.25">
      <c r="A239" s="18" t="s">
        <v>871</v>
      </c>
      <c r="B239" s="18" t="s">
        <v>853</v>
      </c>
      <c r="C239" s="18" t="s">
        <v>853</v>
      </c>
      <c r="E239" s="18" t="e">
        <f>VLOOKUP(C239,Sheet6!C:J,2,0)</f>
        <v>#N/A</v>
      </c>
      <c r="G239" s="18" t="e">
        <f>VLOOKUP(C239,Sheet6!C:J,3,0)</f>
        <v>#N/A</v>
      </c>
      <c r="H239" s="18" t="e">
        <f>VLOOKUP(C239,Sheet6!C:J,4,0)</f>
        <v>#N/A</v>
      </c>
      <c r="I239" s="18" t="e">
        <f>VLOOKUP(C239,Sheet6!C:J,3,0)</f>
        <v>#N/A</v>
      </c>
      <c r="L239" s="18" t="e">
        <f>VLOOKUP(C239,Sheet6!C:J,5,0)</f>
        <v>#N/A</v>
      </c>
      <c r="O239" s="18" t="e">
        <f>VLOOKUP(C239,Sheet6!C:J,8,0)</f>
        <v>#N/A</v>
      </c>
    </row>
    <row r="240" spans="1:15" x14ac:dyDescent="0.25">
      <c r="A240" s="18" t="s">
        <v>874</v>
      </c>
      <c r="B240" s="18" t="s">
        <v>854</v>
      </c>
      <c r="C240" s="18" t="s">
        <v>854</v>
      </c>
      <c r="E240" s="18">
        <f>VLOOKUP(C240,Sheet6!C:J,2,0)</f>
        <v>9.85</v>
      </c>
      <c r="G240" s="18">
        <f>VLOOKUP(C240,Sheet6!C:J,3,0)</f>
        <v>10.83</v>
      </c>
      <c r="H240" s="18">
        <f>VLOOKUP(C240,Sheet6!C:J,4,0)</f>
        <v>9.9499999999999993</v>
      </c>
      <c r="I240" s="18">
        <f>VLOOKUP(C240,Sheet6!C:J,3,0)</f>
        <v>10.83</v>
      </c>
      <c r="L240" s="18">
        <f>VLOOKUP(C240,Sheet6!C:J,5,0)</f>
        <v>8179286.2699999996</v>
      </c>
      <c r="O240" s="18">
        <f>VLOOKUP(C240,Sheet6!C:J,8,0)</f>
        <v>173</v>
      </c>
    </row>
    <row r="241" spans="1:15" x14ac:dyDescent="0.25">
      <c r="A241" s="18" t="s">
        <v>875</v>
      </c>
      <c r="B241" s="18" t="s">
        <v>855</v>
      </c>
      <c r="C241" s="18" t="s">
        <v>855</v>
      </c>
      <c r="E241" s="18">
        <f>VLOOKUP(C241,Sheet6!C:J,2,0)</f>
        <v>4.71</v>
      </c>
      <c r="G241" s="18">
        <f>VLOOKUP(C241,Sheet6!C:J,3,0)</f>
        <v>4.7</v>
      </c>
      <c r="H241" s="18">
        <f>VLOOKUP(C241,Sheet6!C:J,4,0)</f>
        <v>-0.21</v>
      </c>
      <c r="I241" s="18">
        <f>VLOOKUP(C241,Sheet6!C:J,3,0)</f>
        <v>4.7</v>
      </c>
      <c r="L241" s="18">
        <f>VLOOKUP(C241,Sheet6!C:J,5,0)</f>
        <v>2345247.38</v>
      </c>
      <c r="O241" s="18">
        <f>VLOOKUP(C241,Sheet6!C:J,8,0)</f>
        <v>65</v>
      </c>
    </row>
    <row r="242" spans="1:15" x14ac:dyDescent="0.25">
      <c r="A242" s="18" t="s">
        <v>878</v>
      </c>
      <c r="B242" s="18" t="s">
        <v>856</v>
      </c>
      <c r="C242" s="18" t="s">
        <v>856</v>
      </c>
      <c r="E242" s="18">
        <f>VLOOKUP(C242,Sheet6!C:J,2,0)</f>
        <v>0.42099999999999999</v>
      </c>
      <c r="G242" s="18">
        <f>VLOOKUP(C242,Sheet6!C:J,3,0)</f>
        <v>0.433</v>
      </c>
      <c r="H242" s="18">
        <f>VLOOKUP(C242,Sheet6!C:J,4,0)</f>
        <v>2.85</v>
      </c>
      <c r="I242" s="18">
        <f>VLOOKUP(C242,Sheet6!C:J,3,0)</f>
        <v>0.433</v>
      </c>
      <c r="L242" s="18">
        <f>VLOOKUP(C242,Sheet6!C:J,5,0)</f>
        <v>8216814.3399999999</v>
      </c>
      <c r="O242" s="18">
        <f>VLOOKUP(C242,Sheet6!C:J,8,0)</f>
        <v>217</v>
      </c>
    </row>
    <row r="243" spans="1:15" x14ac:dyDescent="0.25">
      <c r="A243" s="18" t="s">
        <v>866</v>
      </c>
      <c r="B243" s="18" t="s">
        <v>857</v>
      </c>
      <c r="C243" s="18" t="s">
        <v>857</v>
      </c>
      <c r="E243" s="18">
        <f>VLOOKUP(C243,Sheet6!C:J,2,0)</f>
        <v>7.16</v>
      </c>
      <c r="G243" s="18">
        <f>VLOOKUP(C243,Sheet6!C:J,3,0)</f>
        <v>7.1</v>
      </c>
      <c r="H243" s="18">
        <f>VLOOKUP(C243,Sheet6!C:J,4,0)</f>
        <v>-0.84</v>
      </c>
      <c r="I243" s="18">
        <f>VLOOKUP(C243,Sheet6!C:J,3,0)</f>
        <v>7.1</v>
      </c>
      <c r="L243" s="18">
        <f>VLOOKUP(C243,Sheet6!C:J,5,0)</f>
        <v>493956.59</v>
      </c>
      <c r="O243" s="18">
        <f>VLOOKUP(C243,Sheet6!C:J,8,0)</f>
        <v>182</v>
      </c>
    </row>
    <row r="244" spans="1:15" x14ac:dyDescent="0.25">
      <c r="A244" s="18" t="s">
        <v>869</v>
      </c>
      <c r="B244" s="18" t="s">
        <v>858</v>
      </c>
      <c r="C244" s="18" t="s">
        <v>858</v>
      </c>
      <c r="E244" s="18">
        <f>VLOOKUP(C244,Sheet6!C:J,2,0)</f>
        <v>7.28</v>
      </c>
      <c r="G244" s="18">
        <f>VLOOKUP(C244,Sheet6!C:J,3,0)</f>
        <v>7.26</v>
      </c>
      <c r="H244" s="18">
        <f>VLOOKUP(C244,Sheet6!C:J,4,0)</f>
        <v>-0.27</v>
      </c>
      <c r="I244" s="18">
        <f>VLOOKUP(C244,Sheet6!C:J,3,0)</f>
        <v>7.26</v>
      </c>
      <c r="L244" s="18">
        <f>VLOOKUP(C244,Sheet6!C:J,5,0)</f>
        <v>3461142.71</v>
      </c>
      <c r="O244" s="18">
        <f>VLOOKUP(C244,Sheet6!C:J,8,0)</f>
        <v>510</v>
      </c>
    </row>
    <row r="245" spans="1:15" x14ac:dyDescent="0.25">
      <c r="A245" s="18" t="s">
        <v>867</v>
      </c>
      <c r="B245" s="18" t="s">
        <v>859</v>
      </c>
      <c r="C245" s="18" t="s">
        <v>859</v>
      </c>
      <c r="E245" s="18">
        <f>VLOOKUP(C245,Sheet6!C:J,2,0)</f>
        <v>9.8800000000000008</v>
      </c>
      <c r="G245" s="18">
        <f>VLOOKUP(C245,Sheet6!C:J,3,0)</f>
        <v>9.77</v>
      </c>
      <c r="H245" s="18">
        <f>VLOOKUP(C245,Sheet6!C:J,4,0)</f>
        <v>-1.1100000000000001</v>
      </c>
      <c r="I245" s="18">
        <f>VLOOKUP(C245,Sheet6!C:J,3,0)</f>
        <v>9.77</v>
      </c>
      <c r="L245" s="18">
        <f>VLOOKUP(C245,Sheet6!C:J,5,0)</f>
        <v>203920.26</v>
      </c>
      <c r="O245" s="18">
        <f>VLOOKUP(C245,Sheet6!C:J,8,0)</f>
        <v>133</v>
      </c>
    </row>
    <row r="246" spans="1:15" x14ac:dyDescent="0.25">
      <c r="A246" s="18" t="s">
        <v>870</v>
      </c>
      <c r="B246" s="18" t="s">
        <v>860</v>
      </c>
      <c r="C246" s="18" t="s">
        <v>860</v>
      </c>
      <c r="E246" s="18">
        <f>VLOOKUP(C246,Sheet6!C:J,2,0)</f>
        <v>1.17</v>
      </c>
      <c r="G246" s="18">
        <f>VLOOKUP(C246,Sheet6!C:J,3,0)</f>
        <v>1.17</v>
      </c>
      <c r="H246" s="18">
        <f>VLOOKUP(C246,Sheet6!C:J,4,0)</f>
        <v>0</v>
      </c>
      <c r="I246" s="18">
        <f>VLOOKUP(C246,Sheet6!C:J,3,0)</f>
        <v>1.17</v>
      </c>
      <c r="L246" s="18">
        <f>VLOOKUP(C246,Sheet6!C:J,5,0)</f>
        <v>494791.31</v>
      </c>
      <c r="O246" s="18">
        <f>VLOOKUP(C246,Sheet6!C:J,8,0)</f>
        <v>192</v>
      </c>
    </row>
    <row r="247" spans="1:15" x14ac:dyDescent="0.25">
      <c r="A247" s="18" t="s">
        <v>845</v>
      </c>
      <c r="B247" s="18" t="s">
        <v>861</v>
      </c>
      <c r="C247" s="18" t="s">
        <v>861</v>
      </c>
      <c r="E247" s="18">
        <f>VLOOKUP(C247,Sheet6!C:J,2,0)</f>
        <v>10</v>
      </c>
      <c r="G247" s="18">
        <f>VLOOKUP(C247,Sheet6!C:J,3,0)</f>
        <v>11</v>
      </c>
      <c r="H247" s="18">
        <f>VLOOKUP(C247,Sheet6!C:J,4,0)</f>
        <v>10</v>
      </c>
      <c r="I247" s="18">
        <f>VLOOKUP(C247,Sheet6!C:J,3,0)</f>
        <v>11</v>
      </c>
      <c r="L247" s="18">
        <f>VLOOKUP(C247,Sheet6!C:J,5,0)</f>
        <v>24273649.07</v>
      </c>
      <c r="O247" s="18">
        <f>VLOOKUP(C247,Sheet6!C:J,8,0)</f>
        <v>440</v>
      </c>
    </row>
    <row r="248" spans="1:15" x14ac:dyDescent="0.25">
      <c r="A248" s="18" t="s">
        <v>868</v>
      </c>
      <c r="B248" s="18" t="s">
        <v>862</v>
      </c>
      <c r="C248" s="18" t="s">
        <v>862</v>
      </c>
      <c r="E248" s="18" t="e">
        <f>VLOOKUP(C248,Sheet6!C:J,2,0)</f>
        <v>#N/A</v>
      </c>
      <c r="G248" s="18" t="e">
        <f>VLOOKUP(C248,Sheet6!C:J,3,0)</f>
        <v>#N/A</v>
      </c>
      <c r="H248" s="18" t="e">
        <f>VLOOKUP(C248,Sheet6!C:J,4,0)</f>
        <v>#N/A</v>
      </c>
      <c r="I248" s="18" t="e">
        <f>VLOOKUP(C248,Sheet6!C:J,3,0)</f>
        <v>#N/A</v>
      </c>
      <c r="L248" s="18" t="e">
        <f>VLOOKUP(C248,Sheet6!C:J,5,0)</f>
        <v>#N/A</v>
      </c>
      <c r="O248" s="18" t="e">
        <f>VLOOKUP(C248,Sheet6!C:J,8,0)</f>
        <v>#N/A</v>
      </c>
    </row>
    <row r="249" spans="1:15" x14ac:dyDescent="0.25">
      <c r="A249" s="18" t="s">
        <v>880</v>
      </c>
      <c r="B249" s="18" t="s">
        <v>879</v>
      </c>
      <c r="C249" s="18" t="s">
        <v>879</v>
      </c>
      <c r="E249" s="18" t="e">
        <f>VLOOKUP(C249,Sheet6!C:J,2,0)</f>
        <v>#N/A</v>
      </c>
      <c r="G249" s="18" t="e">
        <f>VLOOKUP(C249,Sheet6!C:J,3,0)</f>
        <v>#N/A</v>
      </c>
      <c r="H249" s="18" t="e">
        <f>VLOOKUP(C249,Sheet6!C:J,4,0)</f>
        <v>#N/A</v>
      </c>
      <c r="I249" s="18" t="e">
        <f>VLOOKUP(C249,Sheet6!C:J,3,0)</f>
        <v>#N/A</v>
      </c>
      <c r="L249" s="18" t="e">
        <f>VLOOKUP(C249,Sheet6!C:J,5,0)</f>
        <v>#N/A</v>
      </c>
      <c r="O249" s="18" t="e">
        <f>VLOOKUP(C249,Sheet6!C:J,8,0)</f>
        <v>#N/A</v>
      </c>
    </row>
    <row r="250" spans="1:15" x14ac:dyDescent="0.25">
      <c r="E250" s="18" t="e">
        <f>VLOOKUP(C250,Sheet6!C:J,2,0)</f>
        <v>#N/A</v>
      </c>
      <c r="G250" s="18" t="e">
        <f>VLOOKUP(C250,Sheet6!C:J,3,0)</f>
        <v>#N/A</v>
      </c>
      <c r="H250" s="18" t="e">
        <f>VLOOKUP(C250,Sheet6!C:J,4,0)</f>
        <v>#N/A</v>
      </c>
      <c r="I250" s="18" t="e">
        <f>VLOOKUP(C250,Sheet6!C:J,3,0)</f>
        <v>#N/A</v>
      </c>
      <c r="L250" s="18" t="e">
        <f>VLOOKUP(C250,Sheet6!C:J,5,0)</f>
        <v>#N/A</v>
      </c>
      <c r="O250" s="18" t="e">
        <f>VLOOKUP(C250,Sheet6!C:J,8,0)</f>
        <v>#N/A</v>
      </c>
    </row>
    <row r="251" spans="1:15" x14ac:dyDescent="0.25">
      <c r="E251" s="18" t="e">
        <f>VLOOKUP(C251,Sheet6!C:J,2,0)</f>
        <v>#N/A</v>
      </c>
      <c r="G251" s="18" t="e">
        <f>VLOOKUP(C251,Sheet6!C:J,3,0)</f>
        <v>#N/A</v>
      </c>
      <c r="H251" s="18" t="e">
        <f>VLOOKUP(C251,Sheet6!C:J,4,0)</f>
        <v>#N/A</v>
      </c>
      <c r="I251" s="18" t="e">
        <f>VLOOKUP(C251,Sheet6!C:J,3,0)</f>
        <v>#N/A</v>
      </c>
      <c r="L251" s="18" t="e">
        <f>VLOOKUP(C251,Sheet6!C:J,5,0)</f>
        <v>#N/A</v>
      </c>
      <c r="O251" s="18" t="e">
        <f>VLOOKUP(C251,Sheet6!C:J,8,0)</f>
        <v>#N/A</v>
      </c>
    </row>
    <row r="252" spans="1:15" x14ac:dyDescent="0.25">
      <c r="A252" s="18" t="s">
        <v>578</v>
      </c>
      <c r="B252" s="18" t="s">
        <v>124</v>
      </c>
      <c r="G252" s="18" t="e">
        <f>VLOOKUP(C252,Sheet6!C:J,3,0)</f>
        <v>#N/A</v>
      </c>
      <c r="H252" s="18" t="e">
        <f>VLOOKUP(C252,Sheet6!C:J,4,0)</f>
        <v>#N/A</v>
      </c>
      <c r="I252" s="18" t="e">
        <f>VLOOKUP(C252,Sheet6!C:J,3,0)</f>
        <v>#N/A</v>
      </c>
      <c r="L252" s="18" t="e">
        <f>VLOOKUP(C252,Sheet6!C:J,5,0)</f>
        <v>#N/A</v>
      </c>
      <c r="O252" s="18" t="e">
        <f>VLOOKUP(C252,Sheet6!C:J,8,0)</f>
        <v>#N/A</v>
      </c>
    </row>
  </sheetData>
  <autoFilter ref="A1:O229" xr:uid="{75845B1B-F3FF-4502-8B36-D10722C6CE05}"/>
  <conditionalFormatting sqref="A1:A1048576">
    <cfRule type="duplicateValues" dxfId="9" priority="3"/>
  </conditionalFormatting>
  <conditionalFormatting sqref="B1:B1048576">
    <cfRule type="duplicateValues" dxfId="8" priority="2"/>
  </conditionalFormatting>
  <conditionalFormatting sqref="C1:C1048576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30ED-CEEC-4AFB-A819-A7749B62C626}">
  <dimension ref="C2:F241"/>
  <sheetViews>
    <sheetView topLeftCell="A203" workbookViewId="0">
      <selection activeCell="C228" sqref="C228"/>
    </sheetView>
  </sheetViews>
  <sheetFormatPr defaultRowHeight="15" x14ac:dyDescent="0.25"/>
  <cols>
    <col min="3" max="3" width="44.28515625" bestFit="1" customWidth="1"/>
    <col min="4" max="4" width="14.7109375" bestFit="1" customWidth="1"/>
    <col min="5" max="5" width="15.28515625" bestFit="1" customWidth="1"/>
    <col min="6" max="6" width="25" bestFit="1" customWidth="1"/>
  </cols>
  <sheetData>
    <row r="2" spans="3:6" x14ac:dyDescent="0.25">
      <c r="C2" t="s">
        <v>593</v>
      </c>
      <c r="E2" t="s">
        <v>30</v>
      </c>
    </row>
    <row r="3" spans="3:6" x14ac:dyDescent="0.25">
      <c r="C3" t="s">
        <v>140</v>
      </c>
      <c r="D3" t="s">
        <v>421</v>
      </c>
      <c r="E3" t="s">
        <v>594</v>
      </c>
      <c r="F3" t="s">
        <v>40</v>
      </c>
    </row>
    <row r="4" spans="3:6" x14ac:dyDescent="0.25">
      <c r="C4" t="s">
        <v>211</v>
      </c>
      <c r="D4" t="s">
        <v>421</v>
      </c>
      <c r="E4" t="s">
        <v>595</v>
      </c>
      <c r="F4" t="s">
        <v>44</v>
      </c>
    </row>
    <row r="5" spans="3:6" x14ac:dyDescent="0.25">
      <c r="C5" t="s">
        <v>156</v>
      </c>
      <c r="D5" t="s">
        <v>421</v>
      </c>
      <c r="E5" t="s">
        <v>596</v>
      </c>
      <c r="F5" t="s">
        <v>44</v>
      </c>
    </row>
    <row r="6" spans="3:6" x14ac:dyDescent="0.25">
      <c r="C6" t="s">
        <v>224</v>
      </c>
      <c r="D6" t="s">
        <v>421</v>
      </c>
      <c r="E6" t="s">
        <v>597</v>
      </c>
      <c r="F6" t="s">
        <v>44</v>
      </c>
    </row>
    <row r="7" spans="3:6" x14ac:dyDescent="0.25">
      <c r="C7" t="s">
        <v>236</v>
      </c>
      <c r="D7" t="s">
        <v>421</v>
      </c>
      <c r="E7" t="s">
        <v>598</v>
      </c>
      <c r="F7" t="s">
        <v>77</v>
      </c>
    </row>
    <row r="8" spans="3:6" x14ac:dyDescent="0.25">
      <c r="C8" t="s">
        <v>45</v>
      </c>
      <c r="D8" t="s">
        <v>421</v>
      </c>
      <c r="E8" t="s">
        <v>599</v>
      </c>
      <c r="F8" t="s">
        <v>46</v>
      </c>
    </row>
    <row r="9" spans="3:6" x14ac:dyDescent="0.25">
      <c r="C9" t="s">
        <v>212</v>
      </c>
      <c r="D9" t="s">
        <v>421</v>
      </c>
      <c r="E9" t="s">
        <v>600</v>
      </c>
      <c r="F9" t="s">
        <v>40</v>
      </c>
    </row>
    <row r="10" spans="3:6" x14ac:dyDescent="0.25">
      <c r="C10" t="s">
        <v>9</v>
      </c>
      <c r="D10" t="s">
        <v>421</v>
      </c>
      <c r="E10" t="s">
        <v>601</v>
      </c>
      <c r="F10" t="s">
        <v>51</v>
      </c>
    </row>
    <row r="11" spans="3:6" x14ac:dyDescent="0.25">
      <c r="C11" t="s">
        <v>80</v>
      </c>
      <c r="D11" t="s">
        <v>421</v>
      </c>
      <c r="E11" t="s">
        <v>602</v>
      </c>
      <c r="F11" t="s">
        <v>61</v>
      </c>
    </row>
    <row r="12" spans="3:6" x14ac:dyDescent="0.25">
      <c r="C12" t="s">
        <v>96</v>
      </c>
      <c r="D12" t="s">
        <v>421</v>
      </c>
      <c r="E12" t="s">
        <v>603</v>
      </c>
      <c r="F12" t="s">
        <v>48</v>
      </c>
    </row>
    <row r="13" spans="3:6" x14ac:dyDescent="0.25">
      <c r="C13" t="s">
        <v>131</v>
      </c>
      <c r="D13" t="s">
        <v>421</v>
      </c>
      <c r="E13" t="s">
        <v>604</v>
      </c>
      <c r="F13" t="s">
        <v>44</v>
      </c>
    </row>
    <row r="14" spans="3:6" x14ac:dyDescent="0.25">
      <c r="C14" t="s">
        <v>50</v>
      </c>
      <c r="D14" t="s">
        <v>421</v>
      </c>
      <c r="E14" t="s">
        <v>605</v>
      </c>
      <c r="F14" t="s">
        <v>44</v>
      </c>
    </row>
    <row r="15" spans="3:6" x14ac:dyDescent="0.25">
      <c r="C15" t="s">
        <v>164</v>
      </c>
      <c r="D15" t="s">
        <v>421</v>
      </c>
      <c r="E15" t="s">
        <v>606</v>
      </c>
      <c r="F15" t="s">
        <v>44</v>
      </c>
    </row>
    <row r="16" spans="3:6" x14ac:dyDescent="0.25">
      <c r="C16" t="s">
        <v>16</v>
      </c>
      <c r="D16" t="s">
        <v>421</v>
      </c>
      <c r="E16" t="s">
        <v>607</v>
      </c>
      <c r="F16" t="s">
        <v>93</v>
      </c>
    </row>
    <row r="17" spans="3:6" x14ac:dyDescent="0.25">
      <c r="C17" t="s">
        <v>144</v>
      </c>
      <c r="D17" t="s">
        <v>421</v>
      </c>
      <c r="E17" t="s">
        <v>608</v>
      </c>
      <c r="F17" t="s">
        <v>61</v>
      </c>
    </row>
    <row r="18" spans="3:6" x14ac:dyDescent="0.25">
      <c r="C18" t="s">
        <v>105</v>
      </c>
      <c r="D18" t="s">
        <v>421</v>
      </c>
      <c r="E18" t="s">
        <v>609</v>
      </c>
      <c r="F18" t="s">
        <v>44</v>
      </c>
    </row>
    <row r="19" spans="3:6" x14ac:dyDescent="0.25">
      <c r="C19" t="s">
        <v>222</v>
      </c>
      <c r="D19" t="s">
        <v>421</v>
      </c>
      <c r="E19" t="s">
        <v>610</v>
      </c>
      <c r="F19" t="s">
        <v>40</v>
      </c>
    </row>
    <row r="20" spans="3:6" x14ac:dyDescent="0.25">
      <c r="C20" t="s">
        <v>43</v>
      </c>
      <c r="D20" t="s">
        <v>421</v>
      </c>
      <c r="E20" t="s">
        <v>611</v>
      </c>
      <c r="F20" t="s">
        <v>44</v>
      </c>
    </row>
    <row r="21" spans="3:6" x14ac:dyDescent="0.25">
      <c r="C21" t="s">
        <v>13</v>
      </c>
      <c r="D21" t="s">
        <v>421</v>
      </c>
      <c r="E21" t="s">
        <v>612</v>
      </c>
      <c r="F21" t="s">
        <v>51</v>
      </c>
    </row>
    <row r="22" spans="3:6" x14ac:dyDescent="0.25">
      <c r="C22" t="s">
        <v>185</v>
      </c>
      <c r="D22" t="s">
        <v>421</v>
      </c>
      <c r="E22" t="s">
        <v>613</v>
      </c>
      <c r="F22" t="s">
        <v>40</v>
      </c>
    </row>
    <row r="23" spans="3:6" x14ac:dyDescent="0.25">
      <c r="C23" t="s">
        <v>112</v>
      </c>
      <c r="D23" t="s">
        <v>421</v>
      </c>
      <c r="E23" t="s">
        <v>614</v>
      </c>
      <c r="F23" t="s">
        <v>111</v>
      </c>
    </row>
    <row r="24" spans="3:6" x14ac:dyDescent="0.25">
      <c r="C24" t="s">
        <v>154</v>
      </c>
      <c r="D24" t="s">
        <v>421</v>
      </c>
      <c r="E24" t="s">
        <v>615</v>
      </c>
      <c r="F24" t="s">
        <v>51</v>
      </c>
    </row>
    <row r="25" spans="3:6" x14ac:dyDescent="0.25">
      <c r="C25" t="s">
        <v>204</v>
      </c>
      <c r="D25" t="s">
        <v>421</v>
      </c>
      <c r="E25" t="s">
        <v>616</v>
      </c>
      <c r="F25" t="s">
        <v>51</v>
      </c>
    </row>
    <row r="26" spans="3:6" x14ac:dyDescent="0.25">
      <c r="C26" t="s">
        <v>166</v>
      </c>
      <c r="D26" t="s">
        <v>421</v>
      </c>
      <c r="E26" t="s">
        <v>617</v>
      </c>
      <c r="F26" t="s">
        <v>167</v>
      </c>
    </row>
    <row r="27" spans="3:6" x14ac:dyDescent="0.25">
      <c r="C27" t="s">
        <v>171</v>
      </c>
      <c r="D27" t="s">
        <v>421</v>
      </c>
      <c r="E27" t="s">
        <v>618</v>
      </c>
      <c r="F27" t="s">
        <v>88</v>
      </c>
    </row>
    <row r="28" spans="3:6" x14ac:dyDescent="0.25">
      <c r="C28" t="s">
        <v>201</v>
      </c>
      <c r="D28" t="s">
        <v>421</v>
      </c>
      <c r="E28" t="s">
        <v>619</v>
      </c>
      <c r="F28" t="s">
        <v>44</v>
      </c>
    </row>
    <row r="29" spans="3:6" x14ac:dyDescent="0.25">
      <c r="C29" t="s">
        <v>219</v>
      </c>
      <c r="D29" t="s">
        <v>421</v>
      </c>
      <c r="E29" t="s">
        <v>620</v>
      </c>
      <c r="F29" t="s">
        <v>40</v>
      </c>
    </row>
    <row r="30" spans="3:6" x14ac:dyDescent="0.25">
      <c r="C30" t="s">
        <v>68</v>
      </c>
      <c r="D30" t="s">
        <v>421</v>
      </c>
      <c r="E30" t="s">
        <v>621</v>
      </c>
      <c r="F30" t="s">
        <v>48</v>
      </c>
    </row>
    <row r="31" spans="3:6" x14ac:dyDescent="0.25">
      <c r="C31" t="s">
        <v>130</v>
      </c>
      <c r="D31" t="s">
        <v>421</v>
      </c>
      <c r="E31" t="s">
        <v>622</v>
      </c>
      <c r="F31" t="s">
        <v>48</v>
      </c>
    </row>
    <row r="32" spans="3:6" x14ac:dyDescent="0.25">
      <c r="C32" t="s">
        <v>12</v>
      </c>
      <c r="D32" t="s">
        <v>421</v>
      </c>
      <c r="E32" t="s">
        <v>623</v>
      </c>
      <c r="F32" t="s">
        <v>61</v>
      </c>
    </row>
    <row r="33" spans="3:6" x14ac:dyDescent="0.25">
      <c r="C33" t="s">
        <v>143</v>
      </c>
      <c r="D33" t="s">
        <v>421</v>
      </c>
      <c r="E33" t="s">
        <v>624</v>
      </c>
      <c r="F33" t="s">
        <v>42</v>
      </c>
    </row>
    <row r="34" spans="3:6" x14ac:dyDescent="0.25">
      <c r="C34" t="s">
        <v>186</v>
      </c>
      <c r="D34" t="s">
        <v>421</v>
      </c>
      <c r="E34" t="s">
        <v>625</v>
      </c>
      <c r="F34" t="s">
        <v>44</v>
      </c>
    </row>
    <row r="35" spans="3:6" x14ac:dyDescent="0.25">
      <c r="C35" t="s">
        <v>215</v>
      </c>
      <c r="D35" t="s">
        <v>421</v>
      </c>
      <c r="E35" t="s">
        <v>626</v>
      </c>
      <c r="F35" t="s">
        <v>49</v>
      </c>
    </row>
    <row r="36" spans="3:6" x14ac:dyDescent="0.25">
      <c r="C36" t="s">
        <v>344</v>
      </c>
      <c r="D36" t="s">
        <v>421</v>
      </c>
      <c r="E36" t="s">
        <v>627</v>
      </c>
      <c r="F36" t="s">
        <v>49</v>
      </c>
    </row>
    <row r="37" spans="3:6" x14ac:dyDescent="0.25">
      <c r="C37" t="s">
        <v>97</v>
      </c>
      <c r="D37" t="s">
        <v>421</v>
      </c>
      <c r="E37" t="s">
        <v>628</v>
      </c>
      <c r="F37" t="s">
        <v>49</v>
      </c>
    </row>
    <row r="38" spans="3:6" x14ac:dyDescent="0.25">
      <c r="C38" t="s">
        <v>189</v>
      </c>
      <c r="D38" t="s">
        <v>421</v>
      </c>
      <c r="E38" t="s">
        <v>629</v>
      </c>
      <c r="F38" t="s">
        <v>40</v>
      </c>
    </row>
    <row r="39" spans="3:6" x14ac:dyDescent="0.25">
      <c r="C39" t="s">
        <v>70</v>
      </c>
      <c r="D39" t="s">
        <v>421</v>
      </c>
      <c r="E39" t="s">
        <v>630</v>
      </c>
      <c r="F39" t="s">
        <v>71</v>
      </c>
    </row>
    <row r="40" spans="3:6" x14ac:dyDescent="0.25">
      <c r="C40" t="s">
        <v>202</v>
      </c>
      <c r="D40" t="s">
        <v>421</v>
      </c>
      <c r="E40" t="s">
        <v>631</v>
      </c>
      <c r="F40" t="s">
        <v>61</v>
      </c>
    </row>
    <row r="41" spans="3:6" x14ac:dyDescent="0.25">
      <c r="C41" t="s">
        <v>229</v>
      </c>
      <c r="D41" t="s">
        <v>421</v>
      </c>
      <c r="E41" t="s">
        <v>632</v>
      </c>
      <c r="F41" t="s">
        <v>61</v>
      </c>
    </row>
    <row r="42" spans="3:6" x14ac:dyDescent="0.25">
      <c r="C42" t="s">
        <v>441</v>
      </c>
      <c r="D42" t="s">
        <v>421</v>
      </c>
      <c r="E42" t="s">
        <v>633</v>
      </c>
      <c r="F42" t="s">
        <v>167</v>
      </c>
    </row>
    <row r="43" spans="3:6" x14ac:dyDescent="0.25">
      <c r="C43" t="s">
        <v>447</v>
      </c>
      <c r="D43" t="s">
        <v>421</v>
      </c>
      <c r="E43" t="s">
        <v>634</v>
      </c>
      <c r="F43" t="s">
        <v>167</v>
      </c>
    </row>
    <row r="44" spans="3:6" x14ac:dyDescent="0.25">
      <c r="C44" t="s">
        <v>133</v>
      </c>
      <c r="D44" t="s">
        <v>421</v>
      </c>
      <c r="E44" t="s">
        <v>635</v>
      </c>
      <c r="F44" t="s">
        <v>40</v>
      </c>
    </row>
    <row r="45" spans="3:6" x14ac:dyDescent="0.25">
      <c r="C45" t="s">
        <v>443</v>
      </c>
      <c r="D45" t="s">
        <v>421</v>
      </c>
      <c r="E45" t="s">
        <v>636</v>
      </c>
      <c r="F45" t="s">
        <v>44</v>
      </c>
    </row>
    <row r="46" spans="3:6" x14ac:dyDescent="0.25">
      <c r="C46" t="s">
        <v>14</v>
      </c>
      <c r="D46" t="s">
        <v>421</v>
      </c>
      <c r="E46" t="s">
        <v>637</v>
      </c>
      <c r="F46" t="s">
        <v>48</v>
      </c>
    </row>
    <row r="47" spans="3:6" x14ac:dyDescent="0.25">
      <c r="C47" t="s">
        <v>53</v>
      </c>
      <c r="D47" t="s">
        <v>421</v>
      </c>
      <c r="E47" t="s">
        <v>638</v>
      </c>
      <c r="F47" t="s">
        <v>54</v>
      </c>
    </row>
    <row r="48" spans="3:6" x14ac:dyDescent="0.25">
      <c r="C48" t="s">
        <v>434</v>
      </c>
      <c r="D48" t="s">
        <v>421</v>
      </c>
      <c r="E48" t="s">
        <v>639</v>
      </c>
      <c r="F48" t="s">
        <v>44</v>
      </c>
    </row>
    <row r="49" spans="3:6" x14ac:dyDescent="0.25">
      <c r="C49" t="s">
        <v>132</v>
      </c>
      <c r="D49" t="s">
        <v>421</v>
      </c>
      <c r="E49" t="s">
        <v>640</v>
      </c>
      <c r="F49" t="s">
        <v>54</v>
      </c>
    </row>
    <row r="50" spans="3:6" x14ac:dyDescent="0.25">
      <c r="C50" t="s">
        <v>81</v>
      </c>
      <c r="D50" t="s">
        <v>421</v>
      </c>
      <c r="E50" t="s">
        <v>641</v>
      </c>
      <c r="F50" t="s">
        <v>48</v>
      </c>
    </row>
    <row r="51" spans="3:6" x14ac:dyDescent="0.25">
      <c r="C51" t="s">
        <v>104</v>
      </c>
      <c r="D51" t="s">
        <v>421</v>
      </c>
      <c r="E51" t="s">
        <v>642</v>
      </c>
      <c r="F51" t="s">
        <v>40</v>
      </c>
    </row>
    <row r="52" spans="3:6" x14ac:dyDescent="0.25">
      <c r="C52" t="s">
        <v>199</v>
      </c>
      <c r="D52" t="s">
        <v>421</v>
      </c>
      <c r="E52" t="s">
        <v>643</v>
      </c>
      <c r="F52" t="s">
        <v>44</v>
      </c>
    </row>
    <row r="53" spans="3:6" x14ac:dyDescent="0.25">
      <c r="C53" t="s">
        <v>444</v>
      </c>
      <c r="D53" t="s">
        <v>421</v>
      </c>
      <c r="E53" t="s">
        <v>644</v>
      </c>
      <c r="F53" t="s">
        <v>44</v>
      </c>
    </row>
    <row r="54" spans="3:6" x14ac:dyDescent="0.25">
      <c r="C54" t="s">
        <v>148</v>
      </c>
      <c r="D54" t="s">
        <v>421</v>
      </c>
      <c r="E54" t="s">
        <v>645</v>
      </c>
      <c r="F54" t="s">
        <v>46</v>
      </c>
    </row>
    <row r="55" spans="3:6" x14ac:dyDescent="0.25">
      <c r="C55" t="s">
        <v>439</v>
      </c>
      <c r="D55" t="s">
        <v>421</v>
      </c>
      <c r="E55" t="s">
        <v>646</v>
      </c>
      <c r="F55" t="s">
        <v>42</v>
      </c>
    </row>
    <row r="56" spans="3:6" x14ac:dyDescent="0.25">
      <c r="C56" t="s">
        <v>149</v>
      </c>
      <c r="D56" t="s">
        <v>421</v>
      </c>
      <c r="E56" t="s">
        <v>647</v>
      </c>
      <c r="F56" t="s">
        <v>48</v>
      </c>
    </row>
    <row r="57" spans="3:6" x14ac:dyDescent="0.25">
      <c r="C57" t="s">
        <v>183</v>
      </c>
      <c r="D57" t="s">
        <v>421</v>
      </c>
      <c r="E57" t="s">
        <v>648</v>
      </c>
      <c r="F57" t="s">
        <v>48</v>
      </c>
    </row>
    <row r="58" spans="3:6" x14ac:dyDescent="0.25">
      <c r="C58" t="s">
        <v>228</v>
      </c>
      <c r="D58" t="s">
        <v>421</v>
      </c>
      <c r="E58" t="s">
        <v>649</v>
      </c>
      <c r="F58" t="s">
        <v>40</v>
      </c>
    </row>
    <row r="59" spans="3:6" x14ac:dyDescent="0.25">
      <c r="C59" t="s">
        <v>442</v>
      </c>
      <c r="D59" t="s">
        <v>421</v>
      </c>
      <c r="E59" t="s">
        <v>650</v>
      </c>
      <c r="F59" t="s">
        <v>67</v>
      </c>
    </row>
    <row r="60" spans="3:6" x14ac:dyDescent="0.25">
      <c r="C60" t="s">
        <v>99</v>
      </c>
      <c r="D60" t="s">
        <v>421</v>
      </c>
      <c r="E60" t="s">
        <v>651</v>
      </c>
      <c r="F60" t="s">
        <v>40</v>
      </c>
    </row>
    <row r="61" spans="3:6" x14ac:dyDescent="0.25">
      <c r="C61" t="s">
        <v>135</v>
      </c>
      <c r="D61" t="s">
        <v>421</v>
      </c>
      <c r="E61" t="s">
        <v>652</v>
      </c>
      <c r="F61" t="s">
        <v>40</v>
      </c>
    </row>
    <row r="62" spans="3:6" x14ac:dyDescent="0.25">
      <c r="C62" t="s">
        <v>203</v>
      </c>
      <c r="D62" t="s">
        <v>421</v>
      </c>
      <c r="E62" t="s">
        <v>653</v>
      </c>
      <c r="F62" t="s">
        <v>48</v>
      </c>
    </row>
    <row r="63" spans="3:6" x14ac:dyDescent="0.25">
      <c r="C63" t="s">
        <v>82</v>
      </c>
      <c r="D63" t="s">
        <v>421</v>
      </c>
      <c r="E63" t="s">
        <v>654</v>
      </c>
      <c r="F63" t="s">
        <v>61</v>
      </c>
    </row>
    <row r="64" spans="3:6" x14ac:dyDescent="0.25">
      <c r="C64" t="s">
        <v>208</v>
      </c>
      <c r="D64" t="s">
        <v>421</v>
      </c>
      <c r="E64" t="s">
        <v>655</v>
      </c>
      <c r="F64" t="s">
        <v>71</v>
      </c>
    </row>
    <row r="65" spans="3:6" x14ac:dyDescent="0.25">
      <c r="C65" t="s">
        <v>231</v>
      </c>
      <c r="D65" t="s">
        <v>421</v>
      </c>
      <c r="E65" t="s">
        <v>656</v>
      </c>
      <c r="F65" t="s">
        <v>51</v>
      </c>
    </row>
    <row r="66" spans="3:6" x14ac:dyDescent="0.25">
      <c r="C66" t="s">
        <v>56</v>
      </c>
      <c r="D66" t="s">
        <v>421</v>
      </c>
      <c r="E66" t="s">
        <v>657</v>
      </c>
      <c r="F66" t="s">
        <v>40</v>
      </c>
    </row>
    <row r="67" spans="3:6" x14ac:dyDescent="0.25">
      <c r="C67" t="s">
        <v>128</v>
      </c>
      <c r="D67" t="s">
        <v>421</v>
      </c>
      <c r="E67" t="s">
        <v>658</v>
      </c>
      <c r="F67" t="s">
        <v>71</v>
      </c>
    </row>
    <row r="68" spans="3:6" x14ac:dyDescent="0.25">
      <c r="C68" t="s">
        <v>79</v>
      </c>
      <c r="D68" t="s">
        <v>421</v>
      </c>
      <c r="E68" t="s">
        <v>659</v>
      </c>
      <c r="F68" t="s">
        <v>42</v>
      </c>
    </row>
    <row r="69" spans="3:6" x14ac:dyDescent="0.25">
      <c r="C69" t="s">
        <v>168</v>
      </c>
      <c r="D69" t="s">
        <v>421</v>
      </c>
      <c r="E69" t="s">
        <v>660</v>
      </c>
      <c r="F69" t="s">
        <v>48</v>
      </c>
    </row>
    <row r="70" spans="3:6" x14ac:dyDescent="0.25">
      <c r="C70" t="s">
        <v>178</v>
      </c>
      <c r="D70" t="s">
        <v>421</v>
      </c>
      <c r="E70" t="s">
        <v>661</v>
      </c>
      <c r="F70" t="s">
        <v>93</v>
      </c>
    </row>
    <row r="71" spans="3:6" x14ac:dyDescent="0.25">
      <c r="C71" t="s">
        <v>8</v>
      </c>
      <c r="D71" t="s">
        <v>421</v>
      </c>
      <c r="E71" t="s">
        <v>662</v>
      </c>
      <c r="F71" t="s">
        <v>51</v>
      </c>
    </row>
    <row r="72" spans="3:6" x14ac:dyDescent="0.25">
      <c r="C72" t="s">
        <v>197</v>
      </c>
      <c r="D72" t="s">
        <v>421</v>
      </c>
      <c r="E72" t="s">
        <v>663</v>
      </c>
      <c r="F72" t="s">
        <v>40</v>
      </c>
    </row>
    <row r="73" spans="3:6" x14ac:dyDescent="0.25">
      <c r="C73" t="s">
        <v>122</v>
      </c>
      <c r="D73" t="s">
        <v>421</v>
      </c>
      <c r="E73" t="s">
        <v>664</v>
      </c>
      <c r="F73" t="s">
        <v>71</v>
      </c>
    </row>
    <row r="74" spans="3:6" x14ac:dyDescent="0.25">
      <c r="C74" t="s">
        <v>87</v>
      </c>
      <c r="D74" t="s">
        <v>421</v>
      </c>
      <c r="E74" t="s">
        <v>665</v>
      </c>
      <c r="F74" t="s">
        <v>88</v>
      </c>
    </row>
    <row r="75" spans="3:6" x14ac:dyDescent="0.25">
      <c r="C75" t="s">
        <v>90</v>
      </c>
      <c r="D75" t="s">
        <v>421</v>
      </c>
      <c r="E75" t="s">
        <v>666</v>
      </c>
      <c r="F75" t="s">
        <v>51</v>
      </c>
    </row>
    <row r="76" spans="3:6" x14ac:dyDescent="0.25">
      <c r="C76" t="s">
        <v>118</v>
      </c>
      <c r="D76" t="s">
        <v>421</v>
      </c>
      <c r="E76" t="s">
        <v>667</v>
      </c>
      <c r="F76" t="s">
        <v>93</v>
      </c>
    </row>
    <row r="77" spans="3:6" x14ac:dyDescent="0.25">
      <c r="C77" t="s">
        <v>180</v>
      </c>
      <c r="D77" t="s">
        <v>421</v>
      </c>
      <c r="E77" t="s">
        <v>668</v>
      </c>
      <c r="F77" t="s">
        <v>93</v>
      </c>
    </row>
    <row r="78" spans="3:6" x14ac:dyDescent="0.25">
      <c r="C78" t="s">
        <v>109</v>
      </c>
      <c r="D78" t="s">
        <v>421</v>
      </c>
      <c r="E78" t="s">
        <v>669</v>
      </c>
      <c r="F78" t="s">
        <v>46</v>
      </c>
    </row>
    <row r="79" spans="3:6" x14ac:dyDescent="0.25">
      <c r="C79" t="s">
        <v>20</v>
      </c>
      <c r="D79" t="s">
        <v>421</v>
      </c>
      <c r="E79" t="s">
        <v>670</v>
      </c>
      <c r="F79" t="s">
        <v>93</v>
      </c>
    </row>
    <row r="80" spans="3:6" x14ac:dyDescent="0.25">
      <c r="C80" t="s">
        <v>106</v>
      </c>
      <c r="D80" t="s">
        <v>421</v>
      </c>
      <c r="E80" t="s">
        <v>671</v>
      </c>
      <c r="F80" t="s">
        <v>48</v>
      </c>
    </row>
    <row r="81" spans="3:6" x14ac:dyDescent="0.25">
      <c r="C81" t="s">
        <v>134</v>
      </c>
      <c r="D81" t="s">
        <v>421</v>
      </c>
      <c r="E81" t="s">
        <v>672</v>
      </c>
      <c r="F81" t="s">
        <v>88</v>
      </c>
    </row>
    <row r="82" spans="3:6" x14ac:dyDescent="0.25">
      <c r="C82" t="s">
        <v>162</v>
      </c>
      <c r="D82" t="s">
        <v>421</v>
      </c>
      <c r="E82" t="s">
        <v>673</v>
      </c>
      <c r="F82" t="s">
        <v>44</v>
      </c>
    </row>
    <row r="83" spans="3:6" x14ac:dyDescent="0.25">
      <c r="C83" t="s">
        <v>179</v>
      </c>
      <c r="D83" t="s">
        <v>421</v>
      </c>
      <c r="E83" t="s">
        <v>674</v>
      </c>
      <c r="F83" t="s">
        <v>93</v>
      </c>
    </row>
    <row r="84" spans="3:6" x14ac:dyDescent="0.25">
      <c r="C84" t="s">
        <v>102</v>
      </c>
      <c r="D84" t="s">
        <v>421</v>
      </c>
      <c r="E84" t="s">
        <v>675</v>
      </c>
      <c r="F84" t="s">
        <v>40</v>
      </c>
    </row>
    <row r="85" spans="3:6" x14ac:dyDescent="0.25">
      <c r="C85" t="s">
        <v>187</v>
      </c>
      <c r="D85" t="s">
        <v>421</v>
      </c>
      <c r="E85" t="s">
        <v>676</v>
      </c>
      <c r="F85" t="s">
        <v>44</v>
      </c>
    </row>
    <row r="86" spans="3:6" x14ac:dyDescent="0.25">
      <c r="C86" t="s">
        <v>91</v>
      </c>
      <c r="D86" t="s">
        <v>421</v>
      </c>
      <c r="E86" t="s">
        <v>677</v>
      </c>
      <c r="F86" t="s">
        <v>51</v>
      </c>
    </row>
    <row r="87" spans="3:6" x14ac:dyDescent="0.25">
      <c r="C87" t="s">
        <v>190</v>
      </c>
      <c r="D87" t="s">
        <v>421</v>
      </c>
      <c r="E87" t="s">
        <v>678</v>
      </c>
      <c r="F87" t="s">
        <v>40</v>
      </c>
    </row>
    <row r="88" spans="3:6" x14ac:dyDescent="0.25">
      <c r="C88" t="s">
        <v>205</v>
      </c>
      <c r="D88" t="s">
        <v>421</v>
      </c>
      <c r="E88" t="s">
        <v>679</v>
      </c>
      <c r="F88" t="s">
        <v>77</v>
      </c>
    </row>
    <row r="89" spans="3:6" x14ac:dyDescent="0.25">
      <c r="C89" t="s">
        <v>5</v>
      </c>
      <c r="D89" t="s">
        <v>421</v>
      </c>
      <c r="E89" t="s">
        <v>680</v>
      </c>
      <c r="F89" t="s">
        <v>48</v>
      </c>
    </row>
    <row r="90" spans="3:6" x14ac:dyDescent="0.25">
      <c r="C90" t="s">
        <v>170</v>
      </c>
      <c r="D90" t="s">
        <v>421</v>
      </c>
      <c r="E90" t="s">
        <v>681</v>
      </c>
      <c r="F90" t="s">
        <v>48</v>
      </c>
    </row>
    <row r="91" spans="3:6" x14ac:dyDescent="0.25">
      <c r="C91" t="s">
        <v>198</v>
      </c>
      <c r="D91" t="s">
        <v>421</v>
      </c>
      <c r="E91" t="s">
        <v>682</v>
      </c>
      <c r="F91" t="s">
        <v>77</v>
      </c>
    </row>
    <row r="92" spans="3:6" x14ac:dyDescent="0.25">
      <c r="C92" t="s">
        <v>220</v>
      </c>
      <c r="D92" t="s">
        <v>421</v>
      </c>
      <c r="E92" t="s">
        <v>683</v>
      </c>
      <c r="F92" t="s">
        <v>44</v>
      </c>
    </row>
    <row r="93" spans="3:6" x14ac:dyDescent="0.25">
      <c r="C93" t="s">
        <v>429</v>
      </c>
      <c r="D93" t="s">
        <v>421</v>
      </c>
      <c r="E93" t="s">
        <v>684</v>
      </c>
      <c r="F93" t="s">
        <v>44</v>
      </c>
    </row>
    <row r="94" spans="3:6" x14ac:dyDescent="0.25">
      <c r="C94" t="s">
        <v>209</v>
      </c>
      <c r="D94" t="s">
        <v>421</v>
      </c>
      <c r="E94" t="s">
        <v>685</v>
      </c>
      <c r="F94" t="s">
        <v>111</v>
      </c>
    </row>
    <row r="95" spans="3:6" x14ac:dyDescent="0.25">
      <c r="C95" t="s">
        <v>123</v>
      </c>
      <c r="D95" t="s">
        <v>421</v>
      </c>
      <c r="E95" t="s">
        <v>686</v>
      </c>
      <c r="F95" t="s">
        <v>46</v>
      </c>
    </row>
    <row r="96" spans="3:6" x14ac:dyDescent="0.25">
      <c r="C96" t="s">
        <v>121</v>
      </c>
      <c r="D96" t="s">
        <v>421</v>
      </c>
      <c r="E96" t="s">
        <v>687</v>
      </c>
      <c r="F96" t="s">
        <v>61</v>
      </c>
    </row>
    <row r="97" spans="3:6" x14ac:dyDescent="0.25">
      <c r="C97" t="s">
        <v>191</v>
      </c>
      <c r="D97" t="s">
        <v>421</v>
      </c>
      <c r="E97" t="s">
        <v>688</v>
      </c>
      <c r="F97" t="s">
        <v>40</v>
      </c>
    </row>
    <row r="98" spans="3:6" x14ac:dyDescent="0.25">
      <c r="C98" t="s">
        <v>100</v>
      </c>
      <c r="D98" t="s">
        <v>421</v>
      </c>
      <c r="E98" t="s">
        <v>689</v>
      </c>
      <c r="F98" t="s">
        <v>40</v>
      </c>
    </row>
    <row r="99" spans="3:6" x14ac:dyDescent="0.25">
      <c r="C99" t="s">
        <v>136</v>
      </c>
      <c r="D99" t="s">
        <v>421</v>
      </c>
      <c r="E99" t="s">
        <v>690</v>
      </c>
      <c r="F99" t="s">
        <v>71</v>
      </c>
    </row>
    <row r="100" spans="3:6" x14ac:dyDescent="0.25">
      <c r="C100" t="s">
        <v>22</v>
      </c>
      <c r="D100" t="s">
        <v>421</v>
      </c>
      <c r="E100" t="s">
        <v>691</v>
      </c>
      <c r="F100" t="s">
        <v>49</v>
      </c>
    </row>
    <row r="101" spans="3:6" x14ac:dyDescent="0.25">
      <c r="C101" t="s">
        <v>150</v>
      </c>
      <c r="D101" t="s">
        <v>421</v>
      </c>
      <c r="E101" t="s">
        <v>692</v>
      </c>
      <c r="F101" t="s">
        <v>51</v>
      </c>
    </row>
    <row r="102" spans="3:6" x14ac:dyDescent="0.25">
      <c r="C102" t="s">
        <v>110</v>
      </c>
      <c r="D102" t="s">
        <v>421</v>
      </c>
      <c r="E102" t="s">
        <v>693</v>
      </c>
      <c r="F102" t="s">
        <v>111</v>
      </c>
    </row>
    <row r="103" spans="3:6" x14ac:dyDescent="0.25">
      <c r="C103" t="s">
        <v>423</v>
      </c>
      <c r="D103" t="s">
        <v>421</v>
      </c>
      <c r="E103" t="s">
        <v>694</v>
      </c>
      <c r="F103" t="s">
        <v>59</v>
      </c>
    </row>
    <row r="104" spans="3:6" x14ac:dyDescent="0.25">
      <c r="C104" t="s">
        <v>6</v>
      </c>
      <c r="D104" t="s">
        <v>421</v>
      </c>
      <c r="E104" t="s">
        <v>695</v>
      </c>
      <c r="F104" t="s">
        <v>59</v>
      </c>
    </row>
    <row r="105" spans="3:6" x14ac:dyDescent="0.25">
      <c r="C105" t="s">
        <v>73</v>
      </c>
      <c r="D105" t="s">
        <v>421</v>
      </c>
      <c r="E105" t="s">
        <v>696</v>
      </c>
      <c r="F105" t="s">
        <v>48</v>
      </c>
    </row>
    <row r="106" spans="3:6" x14ac:dyDescent="0.25">
      <c r="C106" t="s">
        <v>194</v>
      </c>
      <c r="D106" t="s">
        <v>421</v>
      </c>
      <c r="E106" t="s">
        <v>697</v>
      </c>
      <c r="F106" t="s">
        <v>67</v>
      </c>
    </row>
    <row r="107" spans="3:6" x14ac:dyDescent="0.25">
      <c r="C107" t="s">
        <v>127</v>
      </c>
      <c r="D107" t="s">
        <v>421</v>
      </c>
      <c r="E107" t="s">
        <v>698</v>
      </c>
      <c r="F107" t="s">
        <v>77</v>
      </c>
    </row>
    <row r="108" spans="3:6" x14ac:dyDescent="0.25">
      <c r="C108" t="s">
        <v>107</v>
      </c>
      <c r="D108" t="s">
        <v>421</v>
      </c>
      <c r="E108" t="s">
        <v>699</v>
      </c>
      <c r="F108" t="s">
        <v>59</v>
      </c>
    </row>
    <row r="109" spans="3:6" x14ac:dyDescent="0.25">
      <c r="C109" t="s">
        <v>174</v>
      </c>
      <c r="D109" t="s">
        <v>421</v>
      </c>
      <c r="E109" t="s">
        <v>700</v>
      </c>
      <c r="F109" t="s">
        <v>40</v>
      </c>
    </row>
    <row r="110" spans="3:6" x14ac:dyDescent="0.25">
      <c r="C110" t="s">
        <v>214</v>
      </c>
      <c r="D110" t="s">
        <v>421</v>
      </c>
      <c r="E110" t="s">
        <v>701</v>
      </c>
      <c r="F110" t="s">
        <v>40</v>
      </c>
    </row>
    <row r="111" spans="3:6" x14ac:dyDescent="0.25">
      <c r="C111" t="s">
        <v>200</v>
      </c>
      <c r="D111" t="s">
        <v>421</v>
      </c>
      <c r="E111" t="s">
        <v>702</v>
      </c>
      <c r="F111" t="s">
        <v>44</v>
      </c>
    </row>
    <row r="112" spans="3:6" x14ac:dyDescent="0.25">
      <c r="C112" t="s">
        <v>7</v>
      </c>
      <c r="D112" t="s">
        <v>421</v>
      </c>
      <c r="E112" t="s">
        <v>703</v>
      </c>
      <c r="F112" t="s">
        <v>48</v>
      </c>
    </row>
    <row r="113" spans="3:6" x14ac:dyDescent="0.25">
      <c r="C113" t="s">
        <v>26</v>
      </c>
      <c r="D113" t="s">
        <v>421</v>
      </c>
      <c r="E113" t="s">
        <v>704</v>
      </c>
      <c r="F113" t="s">
        <v>44</v>
      </c>
    </row>
    <row r="114" spans="3:6" x14ac:dyDescent="0.25">
      <c r="C114" t="s">
        <v>89</v>
      </c>
      <c r="D114" t="s">
        <v>421</v>
      </c>
      <c r="E114" t="s">
        <v>705</v>
      </c>
      <c r="F114" t="s">
        <v>88</v>
      </c>
    </row>
    <row r="115" spans="3:6" x14ac:dyDescent="0.25">
      <c r="C115" t="s">
        <v>157</v>
      </c>
      <c r="D115" t="s">
        <v>421</v>
      </c>
      <c r="E115" t="s">
        <v>706</v>
      </c>
      <c r="F115" t="s">
        <v>48</v>
      </c>
    </row>
    <row r="116" spans="3:6" x14ac:dyDescent="0.25">
      <c r="C116" t="s">
        <v>173</v>
      </c>
      <c r="D116" t="s">
        <v>421</v>
      </c>
      <c r="E116" t="s">
        <v>707</v>
      </c>
      <c r="F116" t="s">
        <v>88</v>
      </c>
    </row>
    <row r="117" spans="3:6" x14ac:dyDescent="0.25">
      <c r="C117" t="s">
        <v>425</v>
      </c>
      <c r="D117" t="s">
        <v>421</v>
      </c>
      <c r="E117" t="s">
        <v>708</v>
      </c>
      <c r="F117" t="s">
        <v>44</v>
      </c>
    </row>
    <row r="118" spans="3:6" x14ac:dyDescent="0.25">
      <c r="C118" t="s">
        <v>155</v>
      </c>
      <c r="D118" t="s">
        <v>421</v>
      </c>
      <c r="E118" t="s">
        <v>709</v>
      </c>
      <c r="F118" t="s">
        <v>51</v>
      </c>
    </row>
    <row r="119" spans="3:6" x14ac:dyDescent="0.25">
      <c r="C119" t="s">
        <v>115</v>
      </c>
      <c r="D119" t="s">
        <v>421</v>
      </c>
      <c r="E119" t="s">
        <v>710</v>
      </c>
      <c r="F119" t="s">
        <v>67</v>
      </c>
    </row>
    <row r="120" spans="3:6" x14ac:dyDescent="0.25">
      <c r="C120" t="s">
        <v>440</v>
      </c>
      <c r="D120" t="s">
        <v>421</v>
      </c>
      <c r="E120" t="s">
        <v>711</v>
      </c>
      <c r="F120" t="s">
        <v>42</v>
      </c>
    </row>
    <row r="121" spans="3:6" x14ac:dyDescent="0.25">
      <c r="C121" t="s">
        <v>188</v>
      </c>
      <c r="D121" t="s">
        <v>421</v>
      </c>
      <c r="E121" t="s">
        <v>712</v>
      </c>
      <c r="F121" t="s">
        <v>40</v>
      </c>
    </row>
    <row r="122" spans="3:6" x14ac:dyDescent="0.25">
      <c r="C122" t="s">
        <v>19</v>
      </c>
      <c r="D122" t="s">
        <v>421</v>
      </c>
      <c r="E122" t="s">
        <v>713</v>
      </c>
      <c r="F122" t="s">
        <v>42</v>
      </c>
    </row>
    <row r="123" spans="3:6" x14ac:dyDescent="0.25">
      <c r="C123" t="s">
        <v>57</v>
      </c>
      <c r="D123" t="s">
        <v>421</v>
      </c>
      <c r="E123" t="s">
        <v>714</v>
      </c>
      <c r="F123" t="s">
        <v>54</v>
      </c>
    </row>
    <row r="124" spans="3:6" x14ac:dyDescent="0.25">
      <c r="C124" t="s">
        <v>227</v>
      </c>
      <c r="D124" t="s">
        <v>421</v>
      </c>
      <c r="E124" t="s">
        <v>715</v>
      </c>
      <c r="F124" t="s">
        <v>44</v>
      </c>
    </row>
    <row r="125" spans="3:6" x14ac:dyDescent="0.25">
      <c r="C125" t="s">
        <v>422</v>
      </c>
      <c r="D125" t="s">
        <v>421</v>
      </c>
      <c r="E125" t="s">
        <v>716</v>
      </c>
      <c r="F125" t="s">
        <v>44</v>
      </c>
    </row>
    <row r="126" spans="3:6" x14ac:dyDescent="0.25">
      <c r="C126" t="s">
        <v>113</v>
      </c>
      <c r="D126" t="s">
        <v>421</v>
      </c>
      <c r="E126" t="s">
        <v>717</v>
      </c>
      <c r="F126" t="s">
        <v>71</v>
      </c>
    </row>
    <row r="127" spans="3:6" x14ac:dyDescent="0.25">
      <c r="C127" t="s">
        <v>221</v>
      </c>
      <c r="D127" t="s">
        <v>421</v>
      </c>
      <c r="E127" t="s">
        <v>718</v>
      </c>
      <c r="F127" t="s">
        <v>59</v>
      </c>
    </row>
    <row r="128" spans="3:6" x14ac:dyDescent="0.25">
      <c r="C128" t="s">
        <v>24</v>
      </c>
      <c r="D128" t="s">
        <v>421</v>
      </c>
      <c r="E128" t="s">
        <v>719</v>
      </c>
      <c r="F128" t="s">
        <v>40</v>
      </c>
    </row>
    <row r="129" spans="3:6" x14ac:dyDescent="0.25">
      <c r="C129" t="s">
        <v>64</v>
      </c>
      <c r="D129" t="s">
        <v>421</v>
      </c>
      <c r="E129" t="s">
        <v>720</v>
      </c>
      <c r="F129" t="s">
        <v>59</v>
      </c>
    </row>
    <row r="130" spans="3:6" x14ac:dyDescent="0.25">
      <c r="C130" t="s">
        <v>39</v>
      </c>
      <c r="D130" t="s">
        <v>421</v>
      </c>
      <c r="E130" t="s">
        <v>721</v>
      </c>
      <c r="F130" t="s">
        <v>40</v>
      </c>
    </row>
    <row r="131" spans="3:6" x14ac:dyDescent="0.25">
      <c r="C131" t="s">
        <v>117</v>
      </c>
      <c r="D131" t="s">
        <v>421</v>
      </c>
      <c r="E131" t="s">
        <v>722</v>
      </c>
      <c r="F131" t="s">
        <v>48</v>
      </c>
    </row>
    <row r="132" spans="3:6" x14ac:dyDescent="0.25">
      <c r="C132" t="s">
        <v>142</v>
      </c>
      <c r="D132" t="s">
        <v>421</v>
      </c>
      <c r="E132" t="s">
        <v>723</v>
      </c>
      <c r="F132" t="s">
        <v>40</v>
      </c>
    </row>
    <row r="133" spans="3:6" x14ac:dyDescent="0.25">
      <c r="C133" t="s">
        <v>125</v>
      </c>
      <c r="D133" t="s">
        <v>421</v>
      </c>
      <c r="E133" t="s">
        <v>724</v>
      </c>
      <c r="F133" t="s">
        <v>40</v>
      </c>
    </row>
    <row r="134" spans="3:6" x14ac:dyDescent="0.25">
      <c r="C134" t="s">
        <v>161</v>
      </c>
      <c r="D134" t="s">
        <v>421</v>
      </c>
      <c r="E134" t="s">
        <v>725</v>
      </c>
      <c r="F134" t="s">
        <v>44</v>
      </c>
    </row>
    <row r="135" spans="3:6" x14ac:dyDescent="0.25">
      <c r="C135" t="s">
        <v>28</v>
      </c>
      <c r="D135" t="s">
        <v>421</v>
      </c>
      <c r="E135" t="s">
        <v>726</v>
      </c>
      <c r="F135" t="s">
        <v>51</v>
      </c>
    </row>
    <row r="136" spans="3:6" x14ac:dyDescent="0.25">
      <c r="C136" t="s">
        <v>18</v>
      </c>
      <c r="D136" t="s">
        <v>421</v>
      </c>
      <c r="E136" t="s">
        <v>727</v>
      </c>
      <c r="F136" t="s">
        <v>44</v>
      </c>
    </row>
    <row r="137" spans="3:6" x14ac:dyDescent="0.25">
      <c r="C137" t="s">
        <v>217</v>
      </c>
      <c r="D137" t="s">
        <v>421</v>
      </c>
      <c r="E137" t="s">
        <v>728</v>
      </c>
      <c r="F137" t="s">
        <v>49</v>
      </c>
    </row>
    <row r="138" spans="3:6" x14ac:dyDescent="0.25">
      <c r="C138" t="s">
        <v>139</v>
      </c>
      <c r="D138" t="s">
        <v>421</v>
      </c>
      <c r="E138" t="s">
        <v>729</v>
      </c>
      <c r="F138" t="s">
        <v>49</v>
      </c>
    </row>
    <row r="139" spans="3:6" x14ac:dyDescent="0.25">
      <c r="C139" t="s">
        <v>428</v>
      </c>
      <c r="D139" t="s">
        <v>421</v>
      </c>
      <c r="E139" t="s">
        <v>730</v>
      </c>
      <c r="F139" t="s">
        <v>49</v>
      </c>
    </row>
    <row r="140" spans="3:6" x14ac:dyDescent="0.25">
      <c r="C140" t="s">
        <v>449</v>
      </c>
      <c r="D140" t="s">
        <v>421</v>
      </c>
      <c r="E140" t="s">
        <v>731</v>
      </c>
      <c r="F140" t="s">
        <v>49</v>
      </c>
    </row>
    <row r="141" spans="3:6" x14ac:dyDescent="0.25">
      <c r="C141" t="s">
        <v>435</v>
      </c>
      <c r="D141" t="s">
        <v>421</v>
      </c>
      <c r="E141" t="s">
        <v>732</v>
      </c>
      <c r="F141" t="s">
        <v>49</v>
      </c>
    </row>
    <row r="142" spans="3:6" x14ac:dyDescent="0.25">
      <c r="C142" t="s">
        <v>184</v>
      </c>
      <c r="D142" t="s">
        <v>421</v>
      </c>
      <c r="E142" t="s">
        <v>733</v>
      </c>
      <c r="F142" t="s">
        <v>49</v>
      </c>
    </row>
    <row r="143" spans="3:6" x14ac:dyDescent="0.25">
      <c r="C143" t="s">
        <v>25</v>
      </c>
      <c r="D143" t="s">
        <v>421</v>
      </c>
      <c r="E143" t="s">
        <v>734</v>
      </c>
      <c r="F143" t="s">
        <v>49</v>
      </c>
    </row>
    <row r="144" spans="3:6" x14ac:dyDescent="0.25">
      <c r="C144" t="s">
        <v>138</v>
      </c>
      <c r="D144" t="s">
        <v>421</v>
      </c>
      <c r="E144" t="s">
        <v>735</v>
      </c>
      <c r="F144" t="s">
        <v>49</v>
      </c>
    </row>
    <row r="145" spans="3:6" x14ac:dyDescent="0.25">
      <c r="C145" t="s">
        <v>207</v>
      </c>
      <c r="D145" t="s">
        <v>421</v>
      </c>
      <c r="E145" t="s">
        <v>736</v>
      </c>
      <c r="F145" t="s">
        <v>49</v>
      </c>
    </row>
    <row r="146" spans="3:6" x14ac:dyDescent="0.25">
      <c r="C146" t="s">
        <v>52</v>
      </c>
      <c r="D146" t="s">
        <v>421</v>
      </c>
      <c r="E146" t="s">
        <v>737</v>
      </c>
      <c r="F146" t="s">
        <v>40</v>
      </c>
    </row>
    <row r="147" spans="3:6" x14ac:dyDescent="0.25">
      <c r="C147" t="s">
        <v>446</v>
      </c>
      <c r="D147" t="s">
        <v>421</v>
      </c>
      <c r="E147" t="s">
        <v>738</v>
      </c>
      <c r="F147" t="s">
        <v>111</v>
      </c>
    </row>
    <row r="148" spans="3:6" x14ac:dyDescent="0.25">
      <c r="C148" t="s">
        <v>114</v>
      </c>
      <c r="D148" t="s">
        <v>421</v>
      </c>
      <c r="E148" t="s">
        <v>739</v>
      </c>
      <c r="F148" t="s">
        <v>44</v>
      </c>
    </row>
    <row r="149" spans="3:6" x14ac:dyDescent="0.25">
      <c r="C149" t="s">
        <v>193</v>
      </c>
      <c r="D149" t="s">
        <v>421</v>
      </c>
      <c r="E149" t="s">
        <v>740</v>
      </c>
      <c r="F149" t="s">
        <v>67</v>
      </c>
    </row>
    <row r="150" spans="3:6" x14ac:dyDescent="0.25">
      <c r="C150" t="s">
        <v>232</v>
      </c>
      <c r="D150" t="s">
        <v>421</v>
      </c>
      <c r="E150" t="s">
        <v>741</v>
      </c>
      <c r="F150" t="s">
        <v>40</v>
      </c>
    </row>
    <row r="151" spans="3:6" x14ac:dyDescent="0.25">
      <c r="C151" t="s">
        <v>126</v>
      </c>
      <c r="D151" t="s">
        <v>421</v>
      </c>
      <c r="E151" t="s">
        <v>742</v>
      </c>
      <c r="F151" t="s">
        <v>46</v>
      </c>
    </row>
    <row r="152" spans="3:6" x14ac:dyDescent="0.25">
      <c r="C152" t="s">
        <v>218</v>
      </c>
      <c r="D152" t="s">
        <v>421</v>
      </c>
      <c r="E152" t="s">
        <v>743</v>
      </c>
      <c r="F152" t="s">
        <v>44</v>
      </c>
    </row>
    <row r="153" spans="3:6" x14ac:dyDescent="0.25">
      <c r="C153" t="s">
        <v>29</v>
      </c>
      <c r="D153" t="s">
        <v>421</v>
      </c>
      <c r="E153" t="s">
        <v>744</v>
      </c>
      <c r="F153" t="s">
        <v>51</v>
      </c>
    </row>
    <row r="154" spans="3:6" x14ac:dyDescent="0.25">
      <c r="C154" t="s">
        <v>182</v>
      </c>
      <c r="D154" t="s">
        <v>421</v>
      </c>
      <c r="E154" t="s">
        <v>745</v>
      </c>
      <c r="F154" t="s">
        <v>93</v>
      </c>
    </row>
    <row r="155" spans="3:6" x14ac:dyDescent="0.25">
      <c r="C155" t="s">
        <v>116</v>
      </c>
      <c r="D155" t="s">
        <v>421</v>
      </c>
      <c r="E155" t="s">
        <v>746</v>
      </c>
      <c r="F155" t="s">
        <v>48</v>
      </c>
    </row>
    <row r="156" spans="3:6" x14ac:dyDescent="0.25">
      <c r="C156" t="s">
        <v>63</v>
      </c>
      <c r="D156" t="s">
        <v>421</v>
      </c>
      <c r="E156" t="s">
        <v>747</v>
      </c>
      <c r="F156" t="s">
        <v>48</v>
      </c>
    </row>
    <row r="157" spans="3:6" x14ac:dyDescent="0.25">
      <c r="C157" t="s">
        <v>55</v>
      </c>
      <c r="D157" t="s">
        <v>421</v>
      </c>
      <c r="E157" t="s">
        <v>748</v>
      </c>
      <c r="F157" t="s">
        <v>54</v>
      </c>
    </row>
    <row r="158" spans="3:6" x14ac:dyDescent="0.25">
      <c r="C158" t="s">
        <v>269</v>
      </c>
      <c r="D158" t="s">
        <v>421</v>
      </c>
      <c r="E158" t="s">
        <v>749</v>
      </c>
      <c r="F158" t="s">
        <v>67</v>
      </c>
    </row>
    <row r="159" spans="3:6" x14ac:dyDescent="0.25">
      <c r="C159" t="s">
        <v>172</v>
      </c>
      <c r="D159" t="s">
        <v>421</v>
      </c>
      <c r="E159" t="s">
        <v>750</v>
      </c>
      <c r="F159" t="s">
        <v>88</v>
      </c>
    </row>
    <row r="160" spans="3:6" x14ac:dyDescent="0.25">
      <c r="C160" t="s">
        <v>75</v>
      </c>
      <c r="D160" t="s">
        <v>421</v>
      </c>
      <c r="E160" t="s">
        <v>751</v>
      </c>
      <c r="F160" t="s">
        <v>71</v>
      </c>
    </row>
    <row r="161" spans="3:6" x14ac:dyDescent="0.25">
      <c r="C161" t="s">
        <v>158</v>
      </c>
      <c r="D161" t="s">
        <v>421</v>
      </c>
      <c r="E161" t="s">
        <v>752</v>
      </c>
      <c r="F161" t="s">
        <v>46</v>
      </c>
    </row>
    <row r="162" spans="3:6" x14ac:dyDescent="0.25">
      <c r="C162" t="s">
        <v>424</v>
      </c>
      <c r="D162" t="s">
        <v>421</v>
      </c>
      <c r="E162" t="s">
        <v>753</v>
      </c>
      <c r="F162" t="s">
        <v>88</v>
      </c>
    </row>
    <row r="163" spans="3:6" x14ac:dyDescent="0.25">
      <c r="C163" t="s">
        <v>754</v>
      </c>
      <c r="D163" t="s">
        <v>421</v>
      </c>
      <c r="E163" t="s">
        <v>755</v>
      </c>
      <c r="F163" t="s">
        <v>71</v>
      </c>
    </row>
    <row r="164" spans="3:6" x14ac:dyDescent="0.25">
      <c r="C164" t="s">
        <v>756</v>
      </c>
      <c r="D164" t="s">
        <v>421</v>
      </c>
      <c r="E164" t="s">
        <v>757</v>
      </c>
      <c r="F164" t="s">
        <v>44</v>
      </c>
    </row>
    <row r="165" spans="3:6" x14ac:dyDescent="0.25">
      <c r="C165" t="s">
        <v>758</v>
      </c>
      <c r="D165" t="s">
        <v>421</v>
      </c>
      <c r="E165" t="s">
        <v>759</v>
      </c>
      <c r="F165" t="s">
        <v>40</v>
      </c>
    </row>
    <row r="166" spans="3:6" x14ac:dyDescent="0.25">
      <c r="C166" t="s">
        <v>760</v>
      </c>
      <c r="D166" t="s">
        <v>421</v>
      </c>
      <c r="E166" t="s">
        <v>761</v>
      </c>
      <c r="F166" t="s">
        <v>51</v>
      </c>
    </row>
    <row r="167" spans="3:6" x14ac:dyDescent="0.25">
      <c r="C167" t="s">
        <v>762</v>
      </c>
      <c r="D167" t="s">
        <v>421</v>
      </c>
      <c r="E167" t="s">
        <v>763</v>
      </c>
      <c r="F167" t="s">
        <v>71</v>
      </c>
    </row>
    <row r="168" spans="3:6" x14ac:dyDescent="0.25">
      <c r="C168" t="s">
        <v>764</v>
      </c>
      <c r="D168" t="s">
        <v>421</v>
      </c>
      <c r="E168" t="s">
        <v>765</v>
      </c>
      <c r="F168" t="s">
        <v>49</v>
      </c>
    </row>
    <row r="169" spans="3:6" x14ac:dyDescent="0.25">
      <c r="C169" t="s">
        <v>165</v>
      </c>
      <c r="D169" t="s">
        <v>421</v>
      </c>
      <c r="E169" t="s">
        <v>766</v>
      </c>
      <c r="F169" t="s">
        <v>88</v>
      </c>
    </row>
    <row r="170" spans="3:6" x14ac:dyDescent="0.25">
      <c r="C170" t="s">
        <v>163</v>
      </c>
      <c r="D170" t="s">
        <v>421</v>
      </c>
      <c r="E170" t="s">
        <v>767</v>
      </c>
      <c r="F170" t="s">
        <v>46</v>
      </c>
    </row>
    <row r="171" spans="3:6" x14ac:dyDescent="0.25">
      <c r="C171" t="s">
        <v>427</v>
      </c>
      <c r="D171" t="s">
        <v>421</v>
      </c>
      <c r="E171" t="s">
        <v>768</v>
      </c>
      <c r="F171" t="s">
        <v>111</v>
      </c>
    </row>
    <row r="172" spans="3:6" x14ac:dyDescent="0.25">
      <c r="C172" t="s">
        <v>58</v>
      </c>
      <c r="D172" t="s">
        <v>421</v>
      </c>
      <c r="E172" t="s">
        <v>769</v>
      </c>
      <c r="F172" t="s">
        <v>59</v>
      </c>
    </row>
    <row r="173" spans="3:6" x14ac:dyDescent="0.25">
      <c r="C173" t="s">
        <v>78</v>
      </c>
      <c r="D173" t="s">
        <v>421</v>
      </c>
      <c r="E173" t="s">
        <v>770</v>
      </c>
      <c r="F173" t="s">
        <v>44</v>
      </c>
    </row>
    <row r="174" spans="3:6" x14ac:dyDescent="0.25">
      <c r="C174" t="s">
        <v>210</v>
      </c>
      <c r="D174" t="s">
        <v>421</v>
      </c>
      <c r="E174" t="s">
        <v>771</v>
      </c>
      <c r="F174" t="s">
        <v>59</v>
      </c>
    </row>
    <row r="175" spans="3:6" x14ac:dyDescent="0.25">
      <c r="C175" t="s">
        <v>101</v>
      </c>
      <c r="D175" t="s">
        <v>421</v>
      </c>
      <c r="E175" t="s">
        <v>772</v>
      </c>
      <c r="F175" t="s">
        <v>67</v>
      </c>
    </row>
    <row r="176" spans="3:6" x14ac:dyDescent="0.25">
      <c r="C176" t="s">
        <v>192</v>
      </c>
      <c r="D176" t="s">
        <v>421</v>
      </c>
      <c r="E176" t="s">
        <v>773</v>
      </c>
      <c r="F176" t="s">
        <v>67</v>
      </c>
    </row>
    <row r="177" spans="3:6" x14ac:dyDescent="0.25">
      <c r="C177" t="s">
        <v>92</v>
      </c>
      <c r="D177" t="s">
        <v>421</v>
      </c>
      <c r="E177" t="s">
        <v>774</v>
      </c>
      <c r="F177" t="s">
        <v>93</v>
      </c>
    </row>
    <row r="178" spans="3:6" x14ac:dyDescent="0.25">
      <c r="C178" t="s">
        <v>69</v>
      </c>
      <c r="D178" t="s">
        <v>421</v>
      </c>
      <c r="E178" t="s">
        <v>775</v>
      </c>
      <c r="F178" t="s">
        <v>40</v>
      </c>
    </row>
    <row r="179" spans="3:6" x14ac:dyDescent="0.25">
      <c r="C179" t="s">
        <v>223</v>
      </c>
      <c r="D179" t="s">
        <v>421</v>
      </c>
      <c r="E179" t="s">
        <v>776</v>
      </c>
      <c r="F179" t="s">
        <v>51</v>
      </c>
    </row>
    <row r="180" spans="3:6" x14ac:dyDescent="0.25">
      <c r="C180" t="s">
        <v>4</v>
      </c>
      <c r="D180" t="s">
        <v>421</v>
      </c>
      <c r="E180" t="s">
        <v>777</v>
      </c>
      <c r="F180" t="s">
        <v>51</v>
      </c>
    </row>
    <row r="181" spans="3:6" x14ac:dyDescent="0.25">
      <c r="C181" t="s">
        <v>108</v>
      </c>
      <c r="D181" t="s">
        <v>421</v>
      </c>
      <c r="E181" t="s">
        <v>778</v>
      </c>
      <c r="F181" t="s">
        <v>54</v>
      </c>
    </row>
    <row r="182" spans="3:6" x14ac:dyDescent="0.25">
      <c r="C182" t="s">
        <v>159</v>
      </c>
      <c r="D182" t="s">
        <v>421</v>
      </c>
      <c r="E182" t="s">
        <v>779</v>
      </c>
      <c r="F182" t="s">
        <v>44</v>
      </c>
    </row>
    <row r="183" spans="3:6" x14ac:dyDescent="0.25">
      <c r="C183" t="s">
        <v>146</v>
      </c>
      <c r="D183" t="s">
        <v>421</v>
      </c>
      <c r="E183" t="s">
        <v>780</v>
      </c>
      <c r="F183" t="s">
        <v>61</v>
      </c>
    </row>
    <row r="184" spans="3:6" x14ac:dyDescent="0.25">
      <c r="C184" t="s">
        <v>66</v>
      </c>
      <c r="D184" t="s">
        <v>421</v>
      </c>
      <c r="E184" t="s">
        <v>781</v>
      </c>
      <c r="F184" t="s">
        <v>67</v>
      </c>
    </row>
    <row r="185" spans="3:6" x14ac:dyDescent="0.25">
      <c r="C185" t="s">
        <v>72</v>
      </c>
      <c r="D185" t="s">
        <v>421</v>
      </c>
      <c r="E185" t="s">
        <v>782</v>
      </c>
      <c r="F185" t="s">
        <v>71</v>
      </c>
    </row>
    <row r="186" spans="3:6" x14ac:dyDescent="0.25">
      <c r="C186" t="s">
        <v>226</v>
      </c>
      <c r="D186" t="s">
        <v>421</v>
      </c>
      <c r="E186" t="s">
        <v>783</v>
      </c>
      <c r="F186" t="s">
        <v>51</v>
      </c>
    </row>
    <row r="187" spans="3:6" x14ac:dyDescent="0.25">
      <c r="C187" t="s">
        <v>206</v>
      </c>
      <c r="D187" t="s">
        <v>421</v>
      </c>
      <c r="E187" t="s">
        <v>784</v>
      </c>
      <c r="F187" t="s">
        <v>48</v>
      </c>
    </row>
    <row r="188" spans="3:6" x14ac:dyDescent="0.25">
      <c r="C188" t="s">
        <v>11</v>
      </c>
      <c r="D188" t="s">
        <v>421</v>
      </c>
      <c r="E188" t="s">
        <v>785</v>
      </c>
      <c r="F188" t="s">
        <v>41</v>
      </c>
    </row>
    <row r="189" spans="3:6" x14ac:dyDescent="0.25">
      <c r="C189" t="s">
        <v>445</v>
      </c>
      <c r="D189" t="s">
        <v>421</v>
      </c>
      <c r="E189" t="s">
        <v>786</v>
      </c>
      <c r="F189" t="s">
        <v>67</v>
      </c>
    </row>
    <row r="190" spans="3:6" x14ac:dyDescent="0.25">
      <c r="C190" t="s">
        <v>225</v>
      </c>
      <c r="D190" t="s">
        <v>421</v>
      </c>
      <c r="E190" t="s">
        <v>787</v>
      </c>
      <c r="F190" t="s">
        <v>48</v>
      </c>
    </row>
    <row r="191" spans="3:6" x14ac:dyDescent="0.25">
      <c r="C191" t="s">
        <v>23</v>
      </c>
      <c r="D191" t="s">
        <v>421</v>
      </c>
      <c r="E191" t="s">
        <v>788</v>
      </c>
      <c r="F191" t="s">
        <v>41</v>
      </c>
    </row>
    <row r="192" spans="3:6" x14ac:dyDescent="0.25">
      <c r="C192" t="s">
        <v>789</v>
      </c>
      <c r="D192" t="s">
        <v>421</v>
      </c>
      <c r="E192" t="s">
        <v>790</v>
      </c>
      <c r="F192" t="s">
        <v>44</v>
      </c>
    </row>
    <row r="193" spans="3:6" x14ac:dyDescent="0.25">
      <c r="C193" t="s">
        <v>230</v>
      </c>
      <c r="D193" t="s">
        <v>421</v>
      </c>
      <c r="E193" t="s">
        <v>791</v>
      </c>
      <c r="F193" t="s">
        <v>44</v>
      </c>
    </row>
    <row r="194" spans="3:6" x14ac:dyDescent="0.25">
      <c r="C194" t="s">
        <v>233</v>
      </c>
      <c r="D194" t="s">
        <v>421</v>
      </c>
      <c r="E194" t="s">
        <v>792</v>
      </c>
      <c r="F194" t="s">
        <v>59</v>
      </c>
    </row>
    <row r="195" spans="3:6" x14ac:dyDescent="0.25">
      <c r="C195" t="s">
        <v>60</v>
      </c>
      <c r="D195" t="s">
        <v>421</v>
      </c>
      <c r="E195" t="s">
        <v>793</v>
      </c>
      <c r="F195" t="s">
        <v>61</v>
      </c>
    </row>
    <row r="196" spans="3:6" x14ac:dyDescent="0.25">
      <c r="C196" t="s">
        <v>432</v>
      </c>
      <c r="D196" t="s">
        <v>421</v>
      </c>
      <c r="E196" t="s">
        <v>794</v>
      </c>
      <c r="F196" t="s">
        <v>71</v>
      </c>
    </row>
    <row r="197" spans="3:6" x14ac:dyDescent="0.25">
      <c r="C197" t="s">
        <v>76</v>
      </c>
      <c r="D197" t="s">
        <v>421</v>
      </c>
      <c r="E197" t="s">
        <v>795</v>
      </c>
      <c r="F197" t="s">
        <v>77</v>
      </c>
    </row>
    <row r="198" spans="3:6" x14ac:dyDescent="0.25">
      <c r="C198" t="s">
        <v>433</v>
      </c>
      <c r="D198" t="s">
        <v>421</v>
      </c>
      <c r="E198" t="s">
        <v>796</v>
      </c>
      <c r="F198" t="s">
        <v>44</v>
      </c>
    </row>
    <row r="199" spans="3:6" x14ac:dyDescent="0.25">
      <c r="C199" t="s">
        <v>137</v>
      </c>
      <c r="D199" t="s">
        <v>421</v>
      </c>
      <c r="E199" t="s">
        <v>797</v>
      </c>
      <c r="F199" t="s">
        <v>71</v>
      </c>
    </row>
    <row r="200" spans="3:6" x14ac:dyDescent="0.25">
      <c r="C200" t="s">
        <v>177</v>
      </c>
      <c r="D200" t="s">
        <v>421</v>
      </c>
      <c r="E200" t="s">
        <v>798</v>
      </c>
      <c r="F200" t="s">
        <v>61</v>
      </c>
    </row>
    <row r="201" spans="3:6" x14ac:dyDescent="0.25">
      <c r="C201" t="s">
        <v>195</v>
      </c>
      <c r="D201" t="s">
        <v>421</v>
      </c>
      <c r="E201" t="s">
        <v>799</v>
      </c>
      <c r="F201" t="s">
        <v>71</v>
      </c>
    </row>
    <row r="202" spans="3:6" x14ac:dyDescent="0.25">
      <c r="C202" t="s">
        <v>119</v>
      </c>
      <c r="D202" t="s">
        <v>421</v>
      </c>
      <c r="E202" t="s">
        <v>800</v>
      </c>
      <c r="F202" t="s">
        <v>44</v>
      </c>
    </row>
    <row r="203" spans="3:6" x14ac:dyDescent="0.25">
      <c r="C203" t="s">
        <v>437</v>
      </c>
      <c r="D203" t="s">
        <v>421</v>
      </c>
      <c r="E203" t="s">
        <v>801</v>
      </c>
      <c r="F203" t="s">
        <v>88</v>
      </c>
    </row>
    <row r="204" spans="3:6" x14ac:dyDescent="0.25">
      <c r="C204" t="s">
        <v>47</v>
      </c>
      <c r="D204" t="s">
        <v>421</v>
      </c>
      <c r="E204" t="s">
        <v>802</v>
      </c>
      <c r="F204" t="s">
        <v>48</v>
      </c>
    </row>
    <row r="205" spans="3:6" x14ac:dyDescent="0.25">
      <c r="C205" t="s">
        <v>94</v>
      </c>
      <c r="D205" t="s">
        <v>421</v>
      </c>
      <c r="E205" t="s">
        <v>803</v>
      </c>
      <c r="F205" t="s">
        <v>93</v>
      </c>
    </row>
    <row r="206" spans="3:6" x14ac:dyDescent="0.25">
      <c r="C206" t="s">
        <v>120</v>
      </c>
      <c r="D206" t="s">
        <v>421</v>
      </c>
      <c r="E206" t="s">
        <v>804</v>
      </c>
      <c r="F206" t="s">
        <v>51</v>
      </c>
    </row>
    <row r="207" spans="3:6" x14ac:dyDescent="0.25">
      <c r="C207" t="s">
        <v>74</v>
      </c>
      <c r="D207" t="s">
        <v>421</v>
      </c>
      <c r="E207" t="s">
        <v>805</v>
      </c>
      <c r="F207" t="s">
        <v>40</v>
      </c>
    </row>
    <row r="208" spans="3:6" x14ac:dyDescent="0.25">
      <c r="C208" t="s">
        <v>98</v>
      </c>
      <c r="D208" t="s">
        <v>421</v>
      </c>
      <c r="E208" t="s">
        <v>806</v>
      </c>
      <c r="F208" t="s">
        <v>44</v>
      </c>
    </row>
    <row r="209" spans="3:6" x14ac:dyDescent="0.25">
      <c r="C209" t="s">
        <v>147</v>
      </c>
      <c r="D209" t="s">
        <v>421</v>
      </c>
      <c r="E209" t="s">
        <v>807</v>
      </c>
      <c r="F209" t="s">
        <v>54</v>
      </c>
    </row>
    <row r="210" spans="3:6" x14ac:dyDescent="0.25">
      <c r="C210" t="s">
        <v>160</v>
      </c>
      <c r="D210" t="s">
        <v>421</v>
      </c>
      <c r="E210" t="s">
        <v>808</v>
      </c>
      <c r="F210" t="s">
        <v>40</v>
      </c>
    </row>
    <row r="211" spans="3:6" x14ac:dyDescent="0.25">
      <c r="C211" t="s">
        <v>103</v>
      </c>
      <c r="D211" t="s">
        <v>421</v>
      </c>
      <c r="E211" t="s">
        <v>809</v>
      </c>
      <c r="F211" t="s">
        <v>40</v>
      </c>
    </row>
    <row r="212" spans="3:6" x14ac:dyDescent="0.25">
      <c r="C212" t="s">
        <v>448</v>
      </c>
      <c r="D212" t="s">
        <v>421</v>
      </c>
      <c r="E212" t="s">
        <v>810</v>
      </c>
      <c r="F212" t="s">
        <v>67</v>
      </c>
    </row>
    <row r="213" spans="3:6" x14ac:dyDescent="0.25">
      <c r="C213" t="s">
        <v>65</v>
      </c>
      <c r="D213" t="s">
        <v>421</v>
      </c>
      <c r="E213" t="s">
        <v>811</v>
      </c>
      <c r="F213" t="s">
        <v>40</v>
      </c>
    </row>
    <row r="214" spans="3:6" x14ac:dyDescent="0.25">
      <c r="C214" t="s">
        <v>3</v>
      </c>
      <c r="D214" t="s">
        <v>421</v>
      </c>
      <c r="E214" t="s">
        <v>812</v>
      </c>
      <c r="F214" t="s">
        <v>51</v>
      </c>
    </row>
    <row r="215" spans="3:6" x14ac:dyDescent="0.25">
      <c r="C215" t="s">
        <v>196</v>
      </c>
      <c r="D215" t="s">
        <v>421</v>
      </c>
      <c r="E215" t="s">
        <v>813</v>
      </c>
      <c r="F215" t="s">
        <v>40</v>
      </c>
    </row>
    <row r="216" spans="3:6" x14ac:dyDescent="0.25">
      <c r="C216" t="s">
        <v>141</v>
      </c>
      <c r="D216" t="s">
        <v>421</v>
      </c>
      <c r="E216" t="s">
        <v>814</v>
      </c>
      <c r="F216" t="s">
        <v>61</v>
      </c>
    </row>
    <row r="217" spans="3:6" x14ac:dyDescent="0.25">
      <c r="C217" t="s">
        <v>181</v>
      </c>
      <c r="D217" t="s">
        <v>421</v>
      </c>
      <c r="E217" t="s">
        <v>815</v>
      </c>
      <c r="F217" t="s">
        <v>93</v>
      </c>
    </row>
    <row r="218" spans="3:6" x14ac:dyDescent="0.25">
      <c r="C218" t="s">
        <v>213</v>
      </c>
      <c r="D218" t="s">
        <v>421</v>
      </c>
      <c r="E218" t="s">
        <v>816</v>
      </c>
      <c r="F218" t="s">
        <v>61</v>
      </c>
    </row>
    <row r="219" spans="3:6" x14ac:dyDescent="0.25">
      <c r="C219" t="s">
        <v>152</v>
      </c>
      <c r="D219" t="s">
        <v>421</v>
      </c>
      <c r="E219" t="s">
        <v>817</v>
      </c>
      <c r="F219" t="s">
        <v>61</v>
      </c>
    </row>
    <row r="220" spans="3:6" x14ac:dyDescent="0.25">
      <c r="C220" t="s">
        <v>95</v>
      </c>
      <c r="D220" t="s">
        <v>421</v>
      </c>
      <c r="E220" t="s">
        <v>818</v>
      </c>
      <c r="F220" t="s">
        <v>93</v>
      </c>
    </row>
    <row r="221" spans="3:6" x14ac:dyDescent="0.25">
      <c r="C221" t="s">
        <v>27</v>
      </c>
      <c r="D221" t="s">
        <v>421</v>
      </c>
      <c r="E221" t="s">
        <v>819</v>
      </c>
      <c r="F221" t="s">
        <v>54</v>
      </c>
    </row>
    <row r="222" spans="3:6" x14ac:dyDescent="0.25">
      <c r="C222" t="s">
        <v>10</v>
      </c>
      <c r="D222" t="s">
        <v>421</v>
      </c>
      <c r="E222" t="s">
        <v>820</v>
      </c>
      <c r="F222" t="s">
        <v>61</v>
      </c>
    </row>
    <row r="223" spans="3:6" x14ac:dyDescent="0.25">
      <c r="C223" t="s">
        <v>176</v>
      </c>
      <c r="D223" t="s">
        <v>421</v>
      </c>
      <c r="E223" t="s">
        <v>821</v>
      </c>
      <c r="F223" t="s">
        <v>48</v>
      </c>
    </row>
    <row r="224" spans="3:6" x14ac:dyDescent="0.25">
      <c r="C224" t="s">
        <v>15</v>
      </c>
      <c r="D224" t="s">
        <v>421</v>
      </c>
      <c r="E224" t="s">
        <v>822</v>
      </c>
      <c r="F224" t="s">
        <v>67</v>
      </c>
    </row>
    <row r="225" spans="3:6" x14ac:dyDescent="0.25">
      <c r="C225" t="s">
        <v>216</v>
      </c>
      <c r="D225" t="s">
        <v>421</v>
      </c>
      <c r="E225" t="s">
        <v>823</v>
      </c>
      <c r="F225" t="s">
        <v>49</v>
      </c>
    </row>
    <row r="226" spans="3:6" x14ac:dyDescent="0.25">
      <c r="C226" t="s">
        <v>17</v>
      </c>
      <c r="D226" t="s">
        <v>421</v>
      </c>
      <c r="E226" t="s">
        <v>824</v>
      </c>
      <c r="F226" t="s">
        <v>48</v>
      </c>
    </row>
    <row r="227" spans="3:6" x14ac:dyDescent="0.25">
      <c r="C227" t="s">
        <v>21</v>
      </c>
      <c r="D227" t="s">
        <v>421</v>
      </c>
      <c r="E227" t="s">
        <v>825</v>
      </c>
      <c r="F227" t="s">
        <v>48</v>
      </c>
    </row>
    <row r="228" spans="3:6" x14ac:dyDescent="0.25">
      <c r="C228" t="s">
        <v>86</v>
      </c>
      <c r="D228" t="s">
        <v>421</v>
      </c>
      <c r="E228" t="s">
        <v>826</v>
      </c>
      <c r="F228" t="s">
        <v>48</v>
      </c>
    </row>
    <row r="229" spans="3:6" x14ac:dyDescent="0.25">
      <c r="C229" t="s">
        <v>85</v>
      </c>
      <c r="D229" t="s">
        <v>421</v>
      </c>
      <c r="E229" t="s">
        <v>827</v>
      </c>
      <c r="F229" t="s">
        <v>48</v>
      </c>
    </row>
    <row r="230" spans="3:6" x14ac:dyDescent="0.25">
      <c r="C230" t="s">
        <v>84</v>
      </c>
      <c r="D230" t="s">
        <v>421</v>
      </c>
      <c r="E230" t="s">
        <v>828</v>
      </c>
      <c r="F230" t="s">
        <v>48</v>
      </c>
    </row>
    <row r="231" spans="3:6" x14ac:dyDescent="0.25">
      <c r="C231" t="s">
        <v>169</v>
      </c>
      <c r="D231" t="s">
        <v>421</v>
      </c>
      <c r="E231" t="s">
        <v>829</v>
      </c>
      <c r="F231" t="s">
        <v>48</v>
      </c>
    </row>
    <row r="232" spans="3:6" x14ac:dyDescent="0.25">
      <c r="C232" t="s">
        <v>83</v>
      </c>
      <c r="D232" t="s">
        <v>421</v>
      </c>
      <c r="E232" t="s">
        <v>830</v>
      </c>
      <c r="F232" t="s">
        <v>48</v>
      </c>
    </row>
    <row r="233" spans="3:6" x14ac:dyDescent="0.25">
      <c r="C233" t="s">
        <v>153</v>
      </c>
      <c r="D233" t="s">
        <v>421</v>
      </c>
      <c r="E233" t="s">
        <v>831</v>
      </c>
      <c r="F233" t="s">
        <v>51</v>
      </c>
    </row>
    <row r="234" spans="3:6" x14ac:dyDescent="0.25">
      <c r="C234" t="s">
        <v>145</v>
      </c>
      <c r="D234" t="s">
        <v>421</v>
      </c>
      <c r="E234" t="s">
        <v>832</v>
      </c>
      <c r="F234" t="s">
        <v>51</v>
      </c>
    </row>
    <row r="235" spans="3:6" x14ac:dyDescent="0.25">
      <c r="C235" t="s">
        <v>175</v>
      </c>
      <c r="D235" t="s">
        <v>421</v>
      </c>
      <c r="E235" t="s">
        <v>833</v>
      </c>
      <c r="F235" t="s">
        <v>40</v>
      </c>
    </row>
    <row r="236" spans="3:6" x14ac:dyDescent="0.25">
      <c r="C236" t="s">
        <v>124</v>
      </c>
      <c r="D236" t="s">
        <v>421</v>
      </c>
      <c r="E236" t="s">
        <v>834</v>
      </c>
      <c r="F236" t="s">
        <v>48</v>
      </c>
    </row>
    <row r="237" spans="3:6" x14ac:dyDescent="0.25">
      <c r="C237" t="s">
        <v>129</v>
      </c>
      <c r="D237" t="s">
        <v>421</v>
      </c>
      <c r="E237" t="s">
        <v>835</v>
      </c>
      <c r="F237" t="s">
        <v>71</v>
      </c>
    </row>
    <row r="238" spans="3:6" x14ac:dyDescent="0.25">
      <c r="C238" t="s">
        <v>235</v>
      </c>
      <c r="D238" t="s">
        <v>421</v>
      </c>
      <c r="E238" t="s">
        <v>836</v>
      </c>
      <c r="F238" t="s">
        <v>44</v>
      </c>
    </row>
    <row r="239" spans="3:6" x14ac:dyDescent="0.25">
      <c r="C239" t="s">
        <v>234</v>
      </c>
      <c r="D239" t="s">
        <v>421</v>
      </c>
      <c r="E239" t="s">
        <v>837</v>
      </c>
      <c r="F239" t="s">
        <v>44</v>
      </c>
    </row>
    <row r="240" spans="3:6" x14ac:dyDescent="0.25">
      <c r="C240" t="s">
        <v>62</v>
      </c>
      <c r="D240" t="s">
        <v>421</v>
      </c>
      <c r="E240" t="s">
        <v>838</v>
      </c>
      <c r="F240" t="s">
        <v>44</v>
      </c>
    </row>
    <row r="241" spans="3:6" x14ac:dyDescent="0.25">
      <c r="C241" t="s">
        <v>151</v>
      </c>
      <c r="D241" t="s">
        <v>421</v>
      </c>
      <c r="E241" t="s">
        <v>839</v>
      </c>
      <c r="F24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56D4B-3431-4138-8E7F-A7445F37FC9B}">
  <dimension ref="A1:N445"/>
  <sheetViews>
    <sheetView workbookViewId="0">
      <selection activeCell="C9" sqref="C9"/>
    </sheetView>
  </sheetViews>
  <sheetFormatPr defaultRowHeight="15" x14ac:dyDescent="0.25"/>
  <cols>
    <col min="1" max="1" width="32.5703125" style="4" customWidth="1"/>
    <col min="2" max="2" width="46.7109375" bestFit="1" customWidth="1"/>
    <col min="3" max="3" width="26.85546875" bestFit="1" customWidth="1"/>
    <col min="4" max="4" width="10.140625" bestFit="1" customWidth="1"/>
    <col min="5" max="5" width="7.5703125" bestFit="1" customWidth="1"/>
    <col min="6" max="6" width="12.42578125" bestFit="1" customWidth="1"/>
    <col min="7" max="7" width="9.5703125" bestFit="1" customWidth="1"/>
    <col min="8" max="8" width="7.140625" bestFit="1" customWidth="1"/>
    <col min="9" max="9" width="7.42578125" bestFit="1" customWidth="1"/>
    <col min="10" max="10" width="7" bestFit="1" customWidth="1"/>
    <col min="11" max="11" width="13.42578125" bestFit="1" customWidth="1"/>
    <col min="12" max="12" width="10.85546875" bestFit="1" customWidth="1"/>
    <col min="13" max="13" width="9.85546875" bestFit="1" customWidth="1"/>
    <col min="14" max="14" width="21.5703125" bestFit="1" customWidth="1"/>
  </cols>
  <sheetData>
    <row r="1" spans="1:14" x14ac:dyDescent="0.25">
      <c r="A1" s="4" t="str">
        <f>B2</f>
        <v>اسم الشركة</v>
      </c>
      <c r="B1" t="s">
        <v>585</v>
      </c>
      <c r="C1" t="s">
        <v>30</v>
      </c>
      <c r="D1" t="s">
        <v>31</v>
      </c>
      <c r="E1" t="s">
        <v>2</v>
      </c>
      <c r="F1" t="s">
        <v>32</v>
      </c>
      <c r="G1" t="s">
        <v>33</v>
      </c>
      <c r="H1" t="s">
        <v>0</v>
      </c>
      <c r="I1" t="s">
        <v>34</v>
      </c>
      <c r="J1" t="s">
        <v>35</v>
      </c>
      <c r="K1" t="s">
        <v>36</v>
      </c>
      <c r="L1" t="s">
        <v>1</v>
      </c>
      <c r="M1" t="s">
        <v>37</v>
      </c>
      <c r="N1" t="s">
        <v>38</v>
      </c>
    </row>
    <row r="2" spans="1:14" x14ac:dyDescent="0.25">
      <c r="A2" s="4" t="str">
        <f t="shared" ref="A2:A65" si="0">B3</f>
        <v>جنيه مصري</v>
      </c>
      <c r="B2" t="s">
        <v>585</v>
      </c>
      <c r="C2" t="s">
        <v>30</v>
      </c>
      <c r="D2" t="s">
        <v>31</v>
      </c>
      <c r="E2" t="s">
        <v>2</v>
      </c>
      <c r="F2" t="s">
        <v>32</v>
      </c>
      <c r="G2" t="s">
        <v>33</v>
      </c>
      <c r="H2" t="s">
        <v>0</v>
      </c>
      <c r="I2" t="s">
        <v>34</v>
      </c>
      <c r="J2" t="s">
        <v>35</v>
      </c>
      <c r="K2" s="2" t="s">
        <v>36</v>
      </c>
      <c r="L2" s="3" t="s">
        <v>1</v>
      </c>
      <c r="M2" t="s">
        <v>37</v>
      </c>
      <c r="N2" s="3" t="s">
        <v>38</v>
      </c>
    </row>
    <row r="3" spans="1:14" x14ac:dyDescent="0.25">
      <c r="A3" s="4" t="str">
        <f t="shared" si="0"/>
        <v>تفاصيل إضافية للشركة</v>
      </c>
      <c r="B3" t="s">
        <v>844</v>
      </c>
      <c r="K3" s="2"/>
      <c r="L3" s="3"/>
      <c r="M3" s="3"/>
      <c r="N3" s="3"/>
    </row>
    <row r="4" spans="1:14" x14ac:dyDescent="0.25">
      <c r="A4" s="4" t="str">
        <f t="shared" si="0"/>
        <v>صكوك بكرة للتصكيك الاصدار الاول ابريل 2032 ع.م</v>
      </c>
      <c r="B4" t="s">
        <v>421</v>
      </c>
      <c r="D4">
        <v>106.13</v>
      </c>
      <c r="E4">
        <v>106.13</v>
      </c>
      <c r="F4">
        <v>105.97</v>
      </c>
      <c r="G4">
        <v>-0.15</v>
      </c>
      <c r="H4">
        <v>105.97</v>
      </c>
      <c r="I4">
        <v>105.97</v>
      </c>
      <c r="J4">
        <v>105.97</v>
      </c>
      <c r="K4" s="2">
        <v>14835.8</v>
      </c>
      <c r="L4" s="3">
        <v>140</v>
      </c>
      <c r="M4" s="3">
        <v>1</v>
      </c>
      <c r="N4" s="3">
        <v>3179</v>
      </c>
    </row>
    <row r="5" spans="1:14" x14ac:dyDescent="0.25">
      <c r="A5" s="4" t="str">
        <f t="shared" si="0"/>
        <v>تفاصيل إضافية للشركة</v>
      </c>
      <c r="B5" t="s">
        <v>1150</v>
      </c>
      <c r="K5" s="2"/>
      <c r="L5" s="3"/>
      <c r="N5" s="3"/>
    </row>
    <row r="6" spans="1:14" x14ac:dyDescent="0.25">
      <c r="A6" s="4" t="str">
        <f t="shared" si="0"/>
        <v>فيركيم مصر للاسمدة والكيماويات</v>
      </c>
      <c r="B6" t="s">
        <v>421</v>
      </c>
      <c r="C6" t="s">
        <v>61</v>
      </c>
      <c r="D6">
        <v>76</v>
      </c>
      <c r="E6">
        <v>76</v>
      </c>
      <c r="F6">
        <v>75.38</v>
      </c>
      <c r="G6">
        <v>-0.82</v>
      </c>
      <c r="H6">
        <v>75.38</v>
      </c>
      <c r="I6">
        <v>76.59</v>
      </c>
      <c r="J6">
        <v>75.34</v>
      </c>
      <c r="K6" s="2">
        <v>4375087.72</v>
      </c>
      <c r="L6" s="3">
        <v>57890</v>
      </c>
      <c r="M6" s="3">
        <v>196</v>
      </c>
      <c r="N6" s="3">
        <v>30152</v>
      </c>
    </row>
    <row r="7" spans="1:14" x14ac:dyDescent="0.25">
      <c r="A7" s="4" t="str">
        <f t="shared" si="0"/>
        <v>تفاصيل إضافية للشركة</v>
      </c>
      <c r="B7" t="s">
        <v>60</v>
      </c>
      <c r="K7" s="2"/>
      <c r="L7" s="3"/>
      <c r="N7" s="3"/>
    </row>
    <row r="8" spans="1:14" x14ac:dyDescent="0.25">
      <c r="A8" s="4" t="str">
        <f t="shared" si="0"/>
        <v>يو للتمويل الاستهلاكى</v>
      </c>
      <c r="B8" t="s">
        <v>421</v>
      </c>
      <c r="C8" t="s">
        <v>44</v>
      </c>
      <c r="D8">
        <v>11.64</v>
      </c>
      <c r="E8">
        <v>11.64</v>
      </c>
      <c r="F8">
        <v>11.92</v>
      </c>
      <c r="G8">
        <v>2.41</v>
      </c>
      <c r="H8">
        <v>11.92</v>
      </c>
      <c r="I8">
        <v>12</v>
      </c>
      <c r="J8">
        <v>11.58</v>
      </c>
      <c r="K8" s="2">
        <v>88472462.599999994</v>
      </c>
      <c r="L8" s="3">
        <v>7402221</v>
      </c>
      <c r="M8" s="3">
        <v>1188</v>
      </c>
      <c r="N8" s="3">
        <v>25108</v>
      </c>
    </row>
    <row r="9" spans="1:14" x14ac:dyDescent="0.25">
      <c r="A9" s="4" t="str">
        <f t="shared" si="0"/>
        <v>تفاصيل إضافية للشركة</v>
      </c>
      <c r="B9" t="s">
        <v>62</v>
      </c>
      <c r="K9" s="2"/>
      <c r="L9" s="3"/>
      <c r="M9" s="3"/>
      <c r="N9" s="3"/>
    </row>
    <row r="10" spans="1:14" x14ac:dyDescent="0.25">
      <c r="A10" s="4" t="str">
        <f t="shared" si="0"/>
        <v>جو جرين للاستثمار الزراعى والتنمية</v>
      </c>
      <c r="B10" t="s">
        <v>421</v>
      </c>
      <c r="C10" t="s">
        <v>48</v>
      </c>
      <c r="D10">
        <v>1.49</v>
      </c>
      <c r="E10">
        <v>1.49</v>
      </c>
      <c r="F10">
        <v>1.49</v>
      </c>
      <c r="G10">
        <v>0</v>
      </c>
      <c r="H10">
        <v>1.49</v>
      </c>
      <c r="I10">
        <v>1.52</v>
      </c>
      <c r="J10">
        <v>1.48</v>
      </c>
      <c r="K10" s="2">
        <v>21330842.510000002</v>
      </c>
      <c r="L10" s="3">
        <v>14288808</v>
      </c>
      <c r="M10" s="3">
        <v>789</v>
      </c>
      <c r="N10" s="3">
        <v>2086</v>
      </c>
    </row>
    <row r="11" spans="1:14" x14ac:dyDescent="0.25">
      <c r="A11" s="4" t="str">
        <f t="shared" si="0"/>
        <v>تفاصيل إضافية للشركة</v>
      </c>
      <c r="B11" t="s">
        <v>63</v>
      </c>
      <c r="K11" s="2"/>
      <c r="L11" s="3"/>
      <c r="M11" s="3"/>
      <c r="N11" s="3"/>
    </row>
    <row r="12" spans="1:14" x14ac:dyDescent="0.25">
      <c r="A12" s="4" t="str">
        <f t="shared" si="0"/>
        <v>بنيان للتنمية والتجارة</v>
      </c>
      <c r="B12" t="s">
        <v>421</v>
      </c>
      <c r="C12" t="s">
        <v>40</v>
      </c>
      <c r="D12">
        <v>5.26</v>
      </c>
      <c r="E12">
        <v>5.26</v>
      </c>
      <c r="F12">
        <v>5.35</v>
      </c>
      <c r="G12">
        <v>1.71</v>
      </c>
      <c r="H12">
        <v>5.35</v>
      </c>
      <c r="I12">
        <v>5.48</v>
      </c>
      <c r="J12">
        <v>5.15</v>
      </c>
      <c r="K12" s="2">
        <v>159145898.75</v>
      </c>
      <c r="L12" s="3">
        <v>30328220</v>
      </c>
      <c r="M12" s="3">
        <v>1833</v>
      </c>
      <c r="N12" s="3">
        <v>9119</v>
      </c>
    </row>
    <row r="13" spans="1:14" x14ac:dyDescent="0.25">
      <c r="A13" s="4" t="str">
        <f t="shared" si="0"/>
        <v>تفاصيل إضافية للشركة</v>
      </c>
      <c r="B13" t="s">
        <v>52</v>
      </c>
      <c r="K13" s="2"/>
      <c r="L13" s="3"/>
      <c r="M13" s="3"/>
      <c r="N13" s="3"/>
    </row>
    <row r="14" spans="1:14" x14ac:dyDescent="0.25">
      <c r="A14" s="4" t="str">
        <f t="shared" si="0"/>
        <v>قرة لمشروعات الطاقة والاستثمار</v>
      </c>
      <c r="B14" t="s">
        <v>421</v>
      </c>
      <c r="C14" t="s">
        <v>71</v>
      </c>
      <c r="D14">
        <v>3.49</v>
      </c>
      <c r="E14">
        <v>3.49</v>
      </c>
      <c r="F14">
        <v>3.36</v>
      </c>
      <c r="G14">
        <v>-3.72</v>
      </c>
      <c r="H14">
        <v>3.36</v>
      </c>
      <c r="I14">
        <v>3.53</v>
      </c>
      <c r="J14">
        <v>3.36</v>
      </c>
      <c r="K14" s="2">
        <v>335223541.50999999</v>
      </c>
      <c r="L14" s="3">
        <v>98105048</v>
      </c>
      <c r="M14" s="3">
        <v>5252</v>
      </c>
      <c r="N14" s="3">
        <v>7560</v>
      </c>
    </row>
    <row r="15" spans="1:14" x14ac:dyDescent="0.25">
      <c r="A15" s="4" t="str">
        <f t="shared" si="0"/>
        <v>تفاصيل إضافية للشركة</v>
      </c>
      <c r="B15" t="s">
        <v>432</v>
      </c>
      <c r="K15" s="2"/>
      <c r="L15" s="3"/>
      <c r="N15" s="3"/>
    </row>
    <row r="16" spans="1:14" x14ac:dyDescent="0.25">
      <c r="A16" s="4" t="str">
        <f t="shared" si="0"/>
        <v>الدولية للأسمدة والكيماويات</v>
      </c>
      <c r="B16" t="s">
        <v>421</v>
      </c>
      <c r="C16" t="s">
        <v>54</v>
      </c>
      <c r="D16">
        <v>15.05</v>
      </c>
      <c r="E16">
        <v>15.05</v>
      </c>
      <c r="F16">
        <v>15.14</v>
      </c>
      <c r="G16">
        <v>0.6</v>
      </c>
      <c r="H16">
        <v>15.14</v>
      </c>
      <c r="I16">
        <v>15.21</v>
      </c>
      <c r="J16">
        <v>15.01</v>
      </c>
      <c r="K16" s="2">
        <v>2813156.81</v>
      </c>
      <c r="L16" s="3">
        <v>186499</v>
      </c>
      <c r="M16" s="3">
        <v>180</v>
      </c>
      <c r="N16" s="3">
        <v>1768</v>
      </c>
    </row>
    <row r="17" spans="1:14" x14ac:dyDescent="0.25">
      <c r="A17" s="4" t="str">
        <f t="shared" si="0"/>
        <v>تفاصيل إضافية للشركة</v>
      </c>
      <c r="B17" t="s">
        <v>53</v>
      </c>
      <c r="K17" s="2"/>
      <c r="L17" s="3"/>
      <c r="M17" s="3"/>
      <c r="N17" s="3"/>
    </row>
    <row r="18" spans="1:14" x14ac:dyDescent="0.25">
      <c r="A18" s="4" t="str">
        <f t="shared" si="0"/>
        <v>جورميه ايجيبت دوت كوم للاغذية</v>
      </c>
      <c r="B18" t="s">
        <v>421</v>
      </c>
      <c r="C18" t="s">
        <v>54</v>
      </c>
      <c r="D18">
        <v>12.79</v>
      </c>
      <c r="E18">
        <v>12.79</v>
      </c>
      <c r="F18">
        <v>12.7</v>
      </c>
      <c r="G18">
        <v>-0.7</v>
      </c>
      <c r="H18">
        <v>12.7</v>
      </c>
      <c r="I18">
        <v>12.88</v>
      </c>
      <c r="J18">
        <v>12.6</v>
      </c>
      <c r="K18" s="2">
        <v>28203630.050000001</v>
      </c>
      <c r="L18" s="3">
        <v>2230803</v>
      </c>
      <c r="M18" s="3">
        <v>529</v>
      </c>
      <c r="N18" s="3">
        <v>5080</v>
      </c>
    </row>
    <row r="19" spans="1:14" x14ac:dyDescent="0.25">
      <c r="A19" s="4" t="str">
        <f t="shared" si="0"/>
        <v>تفاصيل إضافية للشركة</v>
      </c>
      <c r="B19" t="s">
        <v>55</v>
      </c>
      <c r="K19" s="2"/>
      <c r="L19" s="3"/>
      <c r="M19" s="3"/>
      <c r="N19" s="3"/>
    </row>
    <row r="20" spans="1:14" x14ac:dyDescent="0.25">
      <c r="A20" s="4" t="str">
        <f t="shared" si="0"/>
        <v>حق اكتتاب شركة اسباير كابيتال القابضة للاستثمارات المالية-3</v>
      </c>
      <c r="B20" t="s">
        <v>421</v>
      </c>
      <c r="C20" t="s">
        <v>44</v>
      </c>
      <c r="D20">
        <v>9.8000000000000004E-2</v>
      </c>
      <c r="E20">
        <v>9.8000000000000004E-2</v>
      </c>
      <c r="F20">
        <v>8.7999999999999995E-2</v>
      </c>
      <c r="G20">
        <v>-10.199999999999999</v>
      </c>
      <c r="H20">
        <v>8.7999999999999995E-2</v>
      </c>
      <c r="I20">
        <v>9.9000000000000005E-2</v>
      </c>
      <c r="J20">
        <v>8.6999999999999994E-2</v>
      </c>
      <c r="K20" s="2">
        <v>7165583.0199999996</v>
      </c>
      <c r="L20" s="3">
        <v>79721296</v>
      </c>
      <c r="M20" s="3">
        <v>756</v>
      </c>
      <c r="N20" s="3">
        <v>167</v>
      </c>
    </row>
    <row r="21" spans="1:14" x14ac:dyDescent="0.25">
      <c r="A21" s="4" t="str">
        <f t="shared" si="0"/>
        <v>تفاصيل إضافية للشركة</v>
      </c>
      <c r="B21" t="s">
        <v>1151</v>
      </c>
      <c r="K21" s="2"/>
      <c r="L21" s="3"/>
      <c r="M21" s="3"/>
      <c r="N21" s="3"/>
    </row>
    <row r="22" spans="1:14" x14ac:dyDescent="0.25">
      <c r="A22" s="4" t="str">
        <f t="shared" si="0"/>
        <v>توسع للتخصيم</v>
      </c>
      <c r="B22" t="s">
        <v>421</v>
      </c>
      <c r="C22" t="s">
        <v>44</v>
      </c>
      <c r="D22">
        <v>5.55</v>
      </c>
      <c r="E22">
        <v>5.55</v>
      </c>
      <c r="F22">
        <v>5.42</v>
      </c>
      <c r="G22">
        <v>-2.34</v>
      </c>
      <c r="H22">
        <v>5.41</v>
      </c>
      <c r="I22">
        <v>5.57</v>
      </c>
      <c r="J22">
        <v>5.23</v>
      </c>
      <c r="K22" s="2">
        <v>2236864.52</v>
      </c>
      <c r="L22" s="3">
        <v>410915</v>
      </c>
      <c r="M22" s="3">
        <v>225</v>
      </c>
      <c r="N22" s="3">
        <v>623</v>
      </c>
    </row>
    <row r="23" spans="1:14" x14ac:dyDescent="0.25">
      <c r="A23" s="4" t="str">
        <f t="shared" si="0"/>
        <v>تفاصيل إضافية للشركة</v>
      </c>
      <c r="B23" t="s">
        <v>862</v>
      </c>
      <c r="K23" s="2"/>
      <c r="L23" s="3"/>
      <c r="M23" s="3"/>
      <c r="N23" s="3"/>
    </row>
    <row r="24" spans="1:14" x14ac:dyDescent="0.25">
      <c r="A24" s="4" t="str">
        <f t="shared" si="0"/>
        <v>اية كابيتال القابضة</v>
      </c>
      <c r="B24" t="s">
        <v>421</v>
      </c>
      <c r="C24" t="s">
        <v>40</v>
      </c>
      <c r="D24">
        <v>9.1999999999999993</v>
      </c>
      <c r="E24">
        <v>9.1999999999999993</v>
      </c>
      <c r="F24">
        <v>9.06</v>
      </c>
      <c r="G24">
        <v>-1.52</v>
      </c>
      <c r="H24">
        <v>9.06</v>
      </c>
      <c r="I24">
        <v>9.39</v>
      </c>
      <c r="J24">
        <v>9.02</v>
      </c>
      <c r="K24" s="2">
        <v>5567868.8600000003</v>
      </c>
      <c r="L24" s="3">
        <v>605796</v>
      </c>
      <c r="M24" s="3">
        <v>447</v>
      </c>
      <c r="N24" s="3">
        <v>6625</v>
      </c>
    </row>
    <row r="25" spans="1:14" x14ac:dyDescent="0.25">
      <c r="A25" s="4" t="str">
        <f t="shared" si="0"/>
        <v>تفاصيل إضافية للشركة</v>
      </c>
      <c r="B25" t="s">
        <v>39</v>
      </c>
      <c r="K25" s="2"/>
      <c r="L25" s="3"/>
      <c r="M25" s="3"/>
      <c r="N25" s="3"/>
    </row>
    <row r="26" spans="1:14" x14ac:dyDescent="0.25">
      <c r="A26" s="4" t="str">
        <f t="shared" si="0"/>
        <v>الوطنية للطباعة</v>
      </c>
      <c r="B26" t="s">
        <v>421</v>
      </c>
      <c r="C26" t="s">
        <v>42</v>
      </c>
      <c r="D26">
        <v>25.02</v>
      </c>
      <c r="E26">
        <v>25.02</v>
      </c>
      <c r="F26">
        <v>25.87</v>
      </c>
      <c r="G26">
        <v>3.4</v>
      </c>
      <c r="H26">
        <v>25.9</v>
      </c>
      <c r="I26">
        <v>26</v>
      </c>
      <c r="J26">
        <v>25.1</v>
      </c>
      <c r="K26" s="2">
        <v>559078.21</v>
      </c>
      <c r="L26" s="3">
        <v>21620</v>
      </c>
      <c r="M26" s="3">
        <v>30</v>
      </c>
      <c r="N26" s="3">
        <v>5571</v>
      </c>
    </row>
    <row r="27" spans="1:14" x14ac:dyDescent="0.25">
      <c r="A27" s="4" t="str">
        <f t="shared" si="0"/>
        <v>تفاصيل إضافية للشركة</v>
      </c>
      <c r="B27" t="s">
        <v>19</v>
      </c>
      <c r="K27" s="2"/>
      <c r="L27" s="3"/>
      <c r="N27" s="3"/>
    </row>
    <row r="28" spans="1:14" x14ac:dyDescent="0.25">
      <c r="A28" s="4" t="str">
        <f t="shared" si="0"/>
        <v>اكت فاينانشال للاستشارات</v>
      </c>
      <c r="B28" t="s">
        <v>421</v>
      </c>
      <c r="C28" t="s">
        <v>44</v>
      </c>
      <c r="D28">
        <v>2.71</v>
      </c>
      <c r="E28">
        <v>2.71</v>
      </c>
      <c r="F28">
        <v>2.72</v>
      </c>
      <c r="G28">
        <v>0.37</v>
      </c>
      <c r="H28">
        <v>2.72</v>
      </c>
      <c r="I28">
        <v>2.74</v>
      </c>
      <c r="J28">
        <v>2.71</v>
      </c>
      <c r="K28" s="2">
        <v>5141238.97</v>
      </c>
      <c r="L28" s="3">
        <v>1887396</v>
      </c>
      <c r="M28" s="3">
        <v>222</v>
      </c>
      <c r="N28" s="3">
        <v>3108</v>
      </c>
    </row>
    <row r="29" spans="1:14" x14ac:dyDescent="0.25">
      <c r="A29" s="4" t="str">
        <f t="shared" si="0"/>
        <v>تفاصيل إضافية للشركة</v>
      </c>
      <c r="B29" t="s">
        <v>43</v>
      </c>
      <c r="K29" s="2"/>
      <c r="L29" s="3"/>
      <c r="M29" s="3"/>
      <c r="N29" s="3"/>
    </row>
    <row r="30" spans="1:14" x14ac:dyDescent="0.25">
      <c r="A30" s="4" t="str">
        <f t="shared" si="0"/>
        <v>ديجيتايز للاستثمار والتقنية</v>
      </c>
      <c r="B30" t="s">
        <v>421</v>
      </c>
      <c r="C30" t="s">
        <v>59</v>
      </c>
      <c r="D30">
        <v>2.62</v>
      </c>
      <c r="E30">
        <v>2.62</v>
      </c>
      <c r="F30">
        <v>2.62</v>
      </c>
      <c r="G30">
        <v>0</v>
      </c>
      <c r="H30">
        <v>2.63</v>
      </c>
      <c r="I30">
        <v>2.66</v>
      </c>
      <c r="J30">
        <v>2.61</v>
      </c>
      <c r="K30" s="2">
        <v>1194471.1200000001</v>
      </c>
      <c r="L30" s="3">
        <v>454252</v>
      </c>
      <c r="M30" s="3">
        <v>151</v>
      </c>
      <c r="N30" s="3">
        <v>283</v>
      </c>
    </row>
    <row r="31" spans="1:14" x14ac:dyDescent="0.25">
      <c r="A31" s="4" t="str">
        <f t="shared" si="0"/>
        <v>تفاصيل إضافية للشركة</v>
      </c>
      <c r="B31" t="s">
        <v>58</v>
      </c>
      <c r="K31" s="2"/>
      <c r="L31" s="3"/>
      <c r="N31" s="3"/>
    </row>
    <row r="32" spans="1:14" x14ac:dyDescent="0.25">
      <c r="A32" s="4" t="str">
        <f t="shared" si="0"/>
        <v>أم بي للهندسةM.B</v>
      </c>
      <c r="B32" t="s">
        <v>421</v>
      </c>
      <c r="C32" t="s">
        <v>46</v>
      </c>
      <c r="D32">
        <v>3.73</v>
      </c>
      <c r="E32">
        <v>3.73</v>
      </c>
      <c r="F32">
        <v>3.67</v>
      </c>
      <c r="G32">
        <v>-1.61</v>
      </c>
      <c r="H32">
        <v>3.67</v>
      </c>
      <c r="I32">
        <v>3.75</v>
      </c>
      <c r="J32">
        <v>3.66</v>
      </c>
      <c r="K32" s="2">
        <v>1639457.78</v>
      </c>
      <c r="L32" s="3">
        <v>443936</v>
      </c>
      <c r="M32" s="3">
        <v>134</v>
      </c>
      <c r="N32" s="3">
        <v>743</v>
      </c>
    </row>
    <row r="33" spans="1:14" x14ac:dyDescent="0.25">
      <c r="A33" s="4" t="str">
        <f t="shared" si="0"/>
        <v>تفاصيل إضافية للشركة</v>
      </c>
      <c r="B33" t="s">
        <v>45</v>
      </c>
      <c r="K33" s="2"/>
      <c r="L33" s="3"/>
      <c r="M33" s="3"/>
      <c r="N33" s="3"/>
    </row>
    <row r="34" spans="1:14" x14ac:dyDescent="0.25">
      <c r="A34" s="4" t="str">
        <f t="shared" si="0"/>
        <v>سبأ الدولية للأدوية والصناعات الكيماوية</v>
      </c>
      <c r="B34" t="s">
        <v>421</v>
      </c>
      <c r="C34" t="s">
        <v>51</v>
      </c>
      <c r="D34" s="2">
        <v>3.47</v>
      </c>
      <c r="E34" s="2">
        <v>3.47</v>
      </c>
      <c r="F34" s="2">
        <v>3.46</v>
      </c>
      <c r="G34">
        <v>-0.28999999999999998</v>
      </c>
      <c r="H34" s="2">
        <v>3.46</v>
      </c>
      <c r="I34" s="2">
        <v>3.49</v>
      </c>
      <c r="J34" s="2">
        <v>3.43</v>
      </c>
      <c r="K34" s="2">
        <v>15147808.68</v>
      </c>
      <c r="L34" s="3">
        <v>4381732</v>
      </c>
      <c r="M34" s="3">
        <v>381</v>
      </c>
      <c r="N34" s="3">
        <v>865</v>
      </c>
    </row>
    <row r="35" spans="1:14" x14ac:dyDescent="0.25">
      <c r="A35" s="4" t="str">
        <f t="shared" si="0"/>
        <v>تفاصيل إضافية للشركة</v>
      </c>
      <c r="B35" t="s">
        <v>223</v>
      </c>
      <c r="K35" s="2"/>
      <c r="L35" s="3"/>
      <c r="M35" s="3"/>
      <c r="N35" s="3"/>
    </row>
    <row r="36" spans="1:14" x14ac:dyDescent="0.25">
      <c r="A36" s="4" t="str">
        <f t="shared" si="0"/>
        <v>لوتس للتنمية والاستثمار الزراعى</v>
      </c>
      <c r="B36" t="s">
        <v>421</v>
      </c>
      <c r="C36" t="s">
        <v>48</v>
      </c>
      <c r="D36">
        <v>0.752</v>
      </c>
      <c r="E36">
        <v>0.752</v>
      </c>
      <c r="F36">
        <v>0.73699999999999999</v>
      </c>
      <c r="G36">
        <v>-1.99</v>
      </c>
      <c r="H36">
        <v>0.73699999999999999</v>
      </c>
      <c r="I36">
        <v>0.77100000000000002</v>
      </c>
      <c r="J36">
        <v>0.73199999999999998</v>
      </c>
      <c r="K36" s="2">
        <v>52499263.009999998</v>
      </c>
      <c r="L36" s="3">
        <v>70138166</v>
      </c>
      <c r="M36" s="3">
        <v>1698</v>
      </c>
      <c r="N36" s="3">
        <v>774</v>
      </c>
    </row>
    <row r="37" spans="1:14" x14ac:dyDescent="0.25">
      <c r="A37" s="4" t="str">
        <f t="shared" si="0"/>
        <v>تفاصيل إضافية للشركة</v>
      </c>
      <c r="B37" t="s">
        <v>47</v>
      </c>
      <c r="K37" s="2"/>
      <c r="L37" s="3"/>
      <c r="N37" s="3"/>
    </row>
    <row r="38" spans="1:14" x14ac:dyDescent="0.25">
      <c r="A38" s="4" t="str">
        <f t="shared" si="0"/>
        <v>المصرف المتحد</v>
      </c>
      <c r="B38" t="s">
        <v>421</v>
      </c>
      <c r="C38" t="s">
        <v>49</v>
      </c>
      <c r="D38">
        <v>13.92</v>
      </c>
      <c r="E38">
        <v>13.92</v>
      </c>
      <c r="F38">
        <v>13.93</v>
      </c>
      <c r="G38">
        <v>7.0000000000000007E-2</v>
      </c>
      <c r="H38">
        <v>13.93</v>
      </c>
      <c r="I38">
        <v>14.1</v>
      </c>
      <c r="J38">
        <v>13.92</v>
      </c>
      <c r="K38" s="2">
        <v>4345580.9400000004</v>
      </c>
      <c r="L38" s="3">
        <v>310858</v>
      </c>
      <c r="M38" s="3">
        <v>199</v>
      </c>
      <c r="N38" s="3">
        <v>15323</v>
      </c>
    </row>
    <row r="39" spans="1:14" x14ac:dyDescent="0.25">
      <c r="A39" s="4" t="str">
        <f t="shared" si="0"/>
        <v>تفاصيل إضافية للشركة</v>
      </c>
      <c r="B39" t="s">
        <v>22</v>
      </c>
      <c r="K39" s="2"/>
      <c r="L39" s="3"/>
      <c r="M39" s="3"/>
      <c r="N39" s="3"/>
    </row>
    <row r="40" spans="1:14" x14ac:dyDescent="0.25">
      <c r="A40" s="4" t="str">
        <f t="shared" si="0"/>
        <v>ارابيا للاستثمار والتنمية</v>
      </c>
      <c r="B40" t="s">
        <v>421</v>
      </c>
      <c r="C40" t="s">
        <v>44</v>
      </c>
      <c r="D40">
        <v>0.67700000000000005</v>
      </c>
      <c r="E40">
        <v>0.67700000000000005</v>
      </c>
      <c r="F40">
        <v>0.66</v>
      </c>
      <c r="G40">
        <v>-2.5099999999999998</v>
      </c>
      <c r="H40">
        <v>0.66</v>
      </c>
      <c r="I40">
        <v>0.68600000000000005</v>
      </c>
      <c r="J40">
        <v>0.65400000000000003</v>
      </c>
      <c r="K40" s="2">
        <v>8992505.3200000003</v>
      </c>
      <c r="L40" s="3">
        <v>13410501</v>
      </c>
      <c r="M40" s="3">
        <v>339</v>
      </c>
      <c r="N40" s="3">
        <v>1028</v>
      </c>
    </row>
    <row r="41" spans="1:14" x14ac:dyDescent="0.25">
      <c r="A41" s="4" t="str">
        <f t="shared" si="0"/>
        <v>تفاصيل إضافية للشركة</v>
      </c>
      <c r="B41" t="s">
        <v>50</v>
      </c>
      <c r="K41" s="2"/>
      <c r="L41" s="3"/>
      <c r="N41" s="3"/>
    </row>
    <row r="42" spans="1:14" x14ac:dyDescent="0.25">
      <c r="A42" s="4" t="str">
        <f t="shared" si="0"/>
        <v>بريميم هيلثكير جروب</v>
      </c>
      <c r="B42" t="s">
        <v>421</v>
      </c>
      <c r="C42" t="s">
        <v>51</v>
      </c>
      <c r="D42">
        <v>9.1999999999999998E-2</v>
      </c>
      <c r="E42">
        <v>9.1999999999999998E-2</v>
      </c>
      <c r="F42">
        <v>0.09</v>
      </c>
      <c r="G42">
        <v>-2.17</v>
      </c>
      <c r="H42">
        <v>0.09</v>
      </c>
      <c r="I42">
        <v>9.4E-2</v>
      </c>
      <c r="J42">
        <v>0.09</v>
      </c>
      <c r="K42" s="2">
        <v>28937461.649999999</v>
      </c>
      <c r="L42" s="3">
        <v>317498763</v>
      </c>
      <c r="M42" s="3">
        <v>785</v>
      </c>
      <c r="N42" s="3">
        <v>2127</v>
      </c>
    </row>
    <row r="43" spans="1:14" x14ac:dyDescent="0.25">
      <c r="A43" s="4" t="str">
        <f t="shared" si="0"/>
        <v>تفاصيل إضافية للشركة</v>
      </c>
      <c r="B43" t="s">
        <v>28</v>
      </c>
      <c r="K43" s="2"/>
      <c r="L43" s="3"/>
      <c r="N43" s="3"/>
    </row>
    <row r="44" spans="1:14" x14ac:dyDescent="0.25">
      <c r="A44" s="4" t="str">
        <f t="shared" si="0"/>
        <v>طاقة عربية</v>
      </c>
      <c r="B44" t="s">
        <v>421</v>
      </c>
      <c r="C44" t="s">
        <v>41</v>
      </c>
      <c r="D44">
        <v>15.6</v>
      </c>
      <c r="E44">
        <v>15.6</v>
      </c>
      <c r="F44">
        <v>15.3</v>
      </c>
      <c r="G44">
        <v>-1.92</v>
      </c>
      <c r="H44">
        <v>15.3</v>
      </c>
      <c r="I44">
        <v>15.69</v>
      </c>
      <c r="J44">
        <v>15.13</v>
      </c>
      <c r="K44" s="2">
        <v>68089318.290000007</v>
      </c>
      <c r="L44" s="3">
        <v>4436058</v>
      </c>
      <c r="M44" s="3">
        <v>2110</v>
      </c>
      <c r="N44" s="3">
        <v>20691</v>
      </c>
    </row>
    <row r="45" spans="1:14" x14ac:dyDescent="0.25">
      <c r="A45" s="4" t="str">
        <f t="shared" si="0"/>
        <v>تفاصيل إضافية للشركة</v>
      </c>
      <c r="B45" t="s">
        <v>11</v>
      </c>
      <c r="K45" s="2"/>
      <c r="L45" s="3"/>
      <c r="M45" s="3"/>
      <c r="N45" s="3"/>
    </row>
    <row r="46" spans="1:14" x14ac:dyDescent="0.25">
      <c r="A46" s="4" t="str">
        <f t="shared" si="0"/>
        <v>غاز مصر</v>
      </c>
      <c r="B46" t="s">
        <v>421</v>
      </c>
      <c r="C46" t="s">
        <v>41</v>
      </c>
      <c r="D46">
        <v>51.5</v>
      </c>
      <c r="E46">
        <v>51.5</v>
      </c>
      <c r="F46">
        <v>51.15</v>
      </c>
      <c r="G46">
        <v>-0.68</v>
      </c>
      <c r="H46">
        <v>51.15</v>
      </c>
      <c r="I46">
        <v>52.5</v>
      </c>
      <c r="J46">
        <v>51.15</v>
      </c>
      <c r="K46" s="2">
        <v>3796864.17</v>
      </c>
      <c r="L46" s="3">
        <v>73334</v>
      </c>
      <c r="M46" s="3">
        <v>232</v>
      </c>
      <c r="N46" s="3">
        <v>7377</v>
      </c>
    </row>
    <row r="47" spans="1:14" x14ac:dyDescent="0.25">
      <c r="A47" s="4" t="str">
        <f t="shared" si="0"/>
        <v>تفاصيل إضافية للشركة</v>
      </c>
      <c r="B47" t="s">
        <v>23</v>
      </c>
      <c r="K47" s="2"/>
      <c r="L47" s="3"/>
      <c r="M47" s="3"/>
      <c r="N47" s="3"/>
    </row>
    <row r="48" spans="1:14" x14ac:dyDescent="0.25">
      <c r="A48" s="4" t="str">
        <f t="shared" si="0"/>
        <v>ليسيكو مصر</v>
      </c>
      <c r="B48" t="s">
        <v>421</v>
      </c>
      <c r="C48" t="s">
        <v>93</v>
      </c>
      <c r="D48">
        <v>26.6</v>
      </c>
      <c r="E48">
        <v>26.6</v>
      </c>
      <c r="F48">
        <v>27.2</v>
      </c>
      <c r="G48">
        <v>2.2599999999999998</v>
      </c>
      <c r="H48">
        <v>27.2</v>
      </c>
      <c r="I48">
        <v>27.39</v>
      </c>
      <c r="J48">
        <v>26.66</v>
      </c>
      <c r="K48" s="2">
        <v>6496813.3700000001</v>
      </c>
      <c r="L48" s="3">
        <v>239613</v>
      </c>
      <c r="M48" s="3">
        <v>224</v>
      </c>
      <c r="N48" s="3">
        <v>2176</v>
      </c>
    </row>
    <row r="49" spans="1:14" x14ac:dyDescent="0.25">
      <c r="A49" s="4" t="str">
        <f t="shared" si="0"/>
        <v>تفاصيل إضافية للشركة</v>
      </c>
      <c r="B49" t="s">
        <v>94</v>
      </c>
      <c r="K49" s="2"/>
      <c r="L49" s="3"/>
      <c r="M49" s="3"/>
      <c r="N49" s="3"/>
    </row>
    <row r="50" spans="1:14" x14ac:dyDescent="0.25">
      <c r="A50" s="4" t="str">
        <f t="shared" si="0"/>
        <v>اسمنت سيناء</v>
      </c>
      <c r="B50" t="s">
        <v>421</v>
      </c>
      <c r="C50" t="s">
        <v>93</v>
      </c>
      <c r="D50">
        <v>62.06</v>
      </c>
      <c r="E50">
        <v>62.06</v>
      </c>
      <c r="F50">
        <v>62.18</v>
      </c>
      <c r="G50">
        <v>0.19</v>
      </c>
      <c r="H50">
        <v>62.18</v>
      </c>
      <c r="I50">
        <v>62.37</v>
      </c>
      <c r="J50">
        <v>61.5</v>
      </c>
      <c r="K50" s="2">
        <v>20510871.289999999</v>
      </c>
      <c r="L50" s="3">
        <v>331112</v>
      </c>
      <c r="M50" s="3">
        <v>281</v>
      </c>
      <c r="N50" s="3">
        <v>16217</v>
      </c>
    </row>
    <row r="51" spans="1:14" x14ac:dyDescent="0.25">
      <c r="A51" s="4" t="str">
        <f t="shared" si="0"/>
        <v>تفاصيل إضافية للشركة</v>
      </c>
      <c r="B51" t="s">
        <v>16</v>
      </c>
      <c r="K51" s="2"/>
      <c r="L51" s="3"/>
      <c r="M51" s="3"/>
      <c r="N51" s="3"/>
    </row>
    <row r="52" spans="1:14" x14ac:dyDescent="0.25">
      <c r="A52" s="4" t="str">
        <f t="shared" si="0"/>
        <v>جنوب الوادى للاسمنت</v>
      </c>
      <c r="B52" t="s">
        <v>421</v>
      </c>
      <c r="C52" t="s">
        <v>93</v>
      </c>
      <c r="D52">
        <v>9.16</v>
      </c>
      <c r="E52">
        <v>9.16</v>
      </c>
      <c r="F52">
        <v>9.02</v>
      </c>
      <c r="G52">
        <v>-1.53</v>
      </c>
      <c r="H52">
        <v>9.02</v>
      </c>
      <c r="I52">
        <v>9.2899999999999991</v>
      </c>
      <c r="J52">
        <v>9</v>
      </c>
      <c r="K52" s="2">
        <v>85696028.180000007</v>
      </c>
      <c r="L52" s="3">
        <v>9371974</v>
      </c>
      <c r="M52" s="3">
        <v>2004</v>
      </c>
      <c r="N52" s="3">
        <v>4350</v>
      </c>
    </row>
    <row r="53" spans="1:14" x14ac:dyDescent="0.25">
      <c r="A53" s="4" t="str">
        <f t="shared" si="0"/>
        <v>تفاصيل إضافية للشركة</v>
      </c>
      <c r="B53" t="s">
        <v>182</v>
      </c>
      <c r="K53" s="2"/>
      <c r="L53" s="3"/>
      <c r="M53" s="3"/>
      <c r="N53" s="3"/>
    </row>
    <row r="54" spans="1:14" x14ac:dyDescent="0.25">
      <c r="A54" s="4" t="str">
        <f t="shared" si="0"/>
        <v>الدلتا للسكر</v>
      </c>
      <c r="B54" t="s">
        <v>421</v>
      </c>
      <c r="C54" t="s">
        <v>48</v>
      </c>
      <c r="D54">
        <v>48.54</v>
      </c>
      <c r="E54">
        <v>48.54</v>
      </c>
      <c r="F54">
        <v>48.64</v>
      </c>
      <c r="G54">
        <v>0.21</v>
      </c>
      <c r="H54">
        <v>48.78</v>
      </c>
      <c r="I54">
        <v>48.87</v>
      </c>
      <c r="J54">
        <v>48.41</v>
      </c>
      <c r="K54" s="2">
        <v>3080752.77</v>
      </c>
      <c r="L54" s="3">
        <v>63373</v>
      </c>
      <c r="M54" s="3">
        <v>173</v>
      </c>
      <c r="N54" s="3">
        <v>6917</v>
      </c>
    </row>
    <row r="55" spans="1:14" x14ac:dyDescent="0.25">
      <c r="A55" s="4" t="str">
        <f t="shared" si="0"/>
        <v>تفاصيل إضافية للشركة</v>
      </c>
      <c r="B55" t="s">
        <v>14</v>
      </c>
      <c r="K55" s="2"/>
      <c r="L55" s="3"/>
      <c r="M55" s="3"/>
      <c r="N55" s="3"/>
    </row>
    <row r="56" spans="1:14" x14ac:dyDescent="0.25">
      <c r="A56" s="4" t="str">
        <f t="shared" si="0"/>
        <v>بنك فيصل الاسلامي المصرية بالجنية</v>
      </c>
      <c r="B56" t="s">
        <v>421</v>
      </c>
      <c r="C56" t="s">
        <v>49</v>
      </c>
      <c r="D56">
        <v>37.42</v>
      </c>
      <c r="E56">
        <v>37.42</v>
      </c>
      <c r="F56">
        <v>37.21</v>
      </c>
      <c r="G56">
        <v>-0.56000000000000005</v>
      </c>
      <c r="H56">
        <v>37.01</v>
      </c>
      <c r="I56">
        <v>37.42</v>
      </c>
      <c r="J56">
        <v>36.049999999999997</v>
      </c>
      <c r="K56" s="2">
        <v>1377505.02</v>
      </c>
      <c r="L56" s="3">
        <v>37158</v>
      </c>
      <c r="M56" s="3">
        <v>124</v>
      </c>
      <c r="N56" s="3">
        <v>8406</v>
      </c>
    </row>
    <row r="57" spans="1:14" x14ac:dyDescent="0.25">
      <c r="A57" s="4" t="str">
        <f t="shared" si="0"/>
        <v>تفاصيل إضافية للشركة</v>
      </c>
      <c r="B57" t="s">
        <v>184</v>
      </c>
      <c r="K57" s="2"/>
      <c r="L57" s="3"/>
      <c r="M57" s="3"/>
      <c r="N57" s="3"/>
    </row>
    <row r="58" spans="1:14" x14ac:dyDescent="0.25">
      <c r="A58" s="4" t="str">
        <f t="shared" si="0"/>
        <v>القاهرة الوطنية للاستثمار والاوراق المالية</v>
      </c>
      <c r="B58" t="s">
        <v>421</v>
      </c>
      <c r="C58" t="s">
        <v>44</v>
      </c>
      <c r="D58">
        <v>75.040000000000006</v>
      </c>
      <c r="E58">
        <v>75.040000000000006</v>
      </c>
      <c r="F58">
        <v>74.150000000000006</v>
      </c>
      <c r="G58">
        <v>-1.19</v>
      </c>
      <c r="H58">
        <v>74.150000000000006</v>
      </c>
      <c r="I58">
        <v>75.98</v>
      </c>
      <c r="J58">
        <v>72.5</v>
      </c>
      <c r="K58" s="2">
        <v>5380090.5300000003</v>
      </c>
      <c r="L58" s="3">
        <v>72700</v>
      </c>
      <c r="M58" s="3">
        <v>235</v>
      </c>
      <c r="N58" s="3">
        <v>779</v>
      </c>
    </row>
    <row r="59" spans="1:14" x14ac:dyDescent="0.25">
      <c r="A59" s="4" t="str">
        <f t="shared" si="0"/>
        <v>تفاصيل إضافية للشركة</v>
      </c>
      <c r="B59" t="s">
        <v>187</v>
      </c>
      <c r="K59" s="2"/>
      <c r="L59" s="3"/>
      <c r="M59" s="3"/>
      <c r="N59" s="3"/>
    </row>
    <row r="60" spans="1:14" x14ac:dyDescent="0.25">
      <c r="A60" s="4" t="str">
        <f t="shared" si="0"/>
        <v>التعمير والاستشارات الهندسية</v>
      </c>
      <c r="B60" t="s">
        <v>421</v>
      </c>
      <c r="C60" t="s">
        <v>40</v>
      </c>
      <c r="D60">
        <v>77.72</v>
      </c>
      <c r="E60">
        <v>77.72</v>
      </c>
      <c r="F60">
        <v>81.260000000000005</v>
      </c>
      <c r="G60">
        <v>4.55</v>
      </c>
      <c r="H60">
        <v>81.260000000000005</v>
      </c>
      <c r="I60">
        <v>82</v>
      </c>
      <c r="J60">
        <v>77.52</v>
      </c>
      <c r="K60" s="2">
        <v>11660050.85</v>
      </c>
      <c r="L60" s="3">
        <v>144658</v>
      </c>
      <c r="M60" s="3">
        <v>428</v>
      </c>
      <c r="N60" s="3">
        <v>1911</v>
      </c>
    </row>
    <row r="61" spans="1:14" x14ac:dyDescent="0.25">
      <c r="A61" s="4" t="str">
        <f t="shared" si="0"/>
        <v>تفاصيل إضافية للشركة</v>
      </c>
      <c r="B61" t="s">
        <v>189</v>
      </c>
      <c r="K61" s="2"/>
      <c r="L61" s="3"/>
      <c r="M61" s="3"/>
      <c r="N61" s="3"/>
    </row>
    <row r="62" spans="1:14" x14ac:dyDescent="0.25">
      <c r="A62" s="4" t="str">
        <f t="shared" si="0"/>
        <v>المجموعه المصريه العقاريه</v>
      </c>
      <c r="B62" t="s">
        <v>421</v>
      </c>
      <c r="C62" t="s">
        <v>40</v>
      </c>
      <c r="D62">
        <v>1.61</v>
      </c>
      <c r="E62">
        <v>1.61</v>
      </c>
      <c r="F62">
        <v>1.57</v>
      </c>
      <c r="G62">
        <v>-2.48</v>
      </c>
      <c r="H62">
        <v>1.57</v>
      </c>
      <c r="I62">
        <v>1.64</v>
      </c>
      <c r="J62">
        <v>1.57</v>
      </c>
      <c r="K62" s="2">
        <v>26616764.219999999</v>
      </c>
      <c r="L62" s="3">
        <v>16605896</v>
      </c>
      <c r="M62" s="3">
        <v>661</v>
      </c>
      <c r="N62" s="3">
        <v>628</v>
      </c>
    </row>
    <row r="63" spans="1:14" x14ac:dyDescent="0.25">
      <c r="A63" s="4" t="str">
        <f t="shared" si="0"/>
        <v>تفاصيل إضافية للشركة</v>
      </c>
      <c r="B63" t="s">
        <v>100</v>
      </c>
      <c r="K63" s="2"/>
      <c r="L63" s="3"/>
      <c r="M63" s="3"/>
      <c r="N63" s="3"/>
    </row>
    <row r="64" spans="1:14" x14ac:dyDescent="0.25">
      <c r="A64" s="4" t="str">
        <f t="shared" si="0"/>
        <v>رمكو لانشاء القرى السياحيه</v>
      </c>
      <c r="B64" t="s">
        <v>421</v>
      </c>
      <c r="C64" t="s">
        <v>67</v>
      </c>
      <c r="D64">
        <v>3.85</v>
      </c>
      <c r="E64">
        <v>3.85</v>
      </c>
      <c r="F64">
        <v>3.83</v>
      </c>
      <c r="G64">
        <v>-0.52</v>
      </c>
      <c r="H64">
        <v>3.83</v>
      </c>
      <c r="I64">
        <v>3.93</v>
      </c>
      <c r="J64">
        <v>3.83</v>
      </c>
      <c r="K64" s="2">
        <v>6832529.2800000003</v>
      </c>
      <c r="L64" s="3">
        <v>1766369</v>
      </c>
      <c r="M64" s="3">
        <v>204</v>
      </c>
      <c r="N64" s="3">
        <v>945</v>
      </c>
    </row>
    <row r="65" spans="1:14" x14ac:dyDescent="0.25">
      <c r="A65" s="4" t="str">
        <f t="shared" si="0"/>
        <v>تفاصيل إضافية للشركة</v>
      </c>
      <c r="B65" t="s">
        <v>101</v>
      </c>
      <c r="K65" s="2"/>
      <c r="L65" s="3"/>
      <c r="M65" s="3"/>
      <c r="N65" s="3"/>
    </row>
    <row r="66" spans="1:14" x14ac:dyDescent="0.25">
      <c r="A66" s="4" t="str">
        <f t="shared" ref="A66:A129" si="1">B67</f>
        <v>اوراسكوم للتنمية مصر</v>
      </c>
      <c r="B66" t="s">
        <v>421</v>
      </c>
      <c r="C66" t="s">
        <v>40</v>
      </c>
      <c r="D66">
        <v>37.15</v>
      </c>
      <c r="E66">
        <v>37.15</v>
      </c>
      <c r="F66">
        <v>37.39</v>
      </c>
      <c r="G66">
        <v>0.65</v>
      </c>
      <c r="H66">
        <v>37.39</v>
      </c>
      <c r="I66">
        <v>37.799999999999997</v>
      </c>
      <c r="J66">
        <v>37.08</v>
      </c>
      <c r="K66" s="2">
        <v>118224869.91</v>
      </c>
      <c r="L66" s="3">
        <v>3159852</v>
      </c>
      <c r="M66" s="3">
        <v>2116</v>
      </c>
      <c r="N66" s="3">
        <v>42268</v>
      </c>
    </row>
    <row r="67" spans="1:14" x14ac:dyDescent="0.25">
      <c r="A67" s="4" t="str">
        <f t="shared" si="1"/>
        <v>تفاصيل إضافية للشركة</v>
      </c>
      <c r="B67" t="s">
        <v>24</v>
      </c>
      <c r="K67" s="2"/>
      <c r="L67" s="3"/>
      <c r="M67" s="3"/>
      <c r="N67" s="3"/>
    </row>
    <row r="68" spans="1:14" x14ac:dyDescent="0.25">
      <c r="A68" s="4" t="str">
        <f t="shared" si="1"/>
        <v>كوبر للاستثمار التجارى و التطوير العقارى</v>
      </c>
      <c r="B68" t="s">
        <v>421</v>
      </c>
      <c r="C68" t="s">
        <v>71</v>
      </c>
      <c r="D68">
        <v>0.36199999999999999</v>
      </c>
      <c r="E68">
        <v>0.36199999999999999</v>
      </c>
      <c r="F68">
        <v>0.372</v>
      </c>
      <c r="G68">
        <v>2.76</v>
      </c>
      <c r="H68">
        <v>0.372</v>
      </c>
      <c r="I68">
        <v>0.372</v>
      </c>
      <c r="J68">
        <v>0.36</v>
      </c>
      <c r="K68" s="2">
        <v>42797721.93</v>
      </c>
      <c r="L68" s="3">
        <v>116523259</v>
      </c>
      <c r="M68" s="3">
        <v>1071</v>
      </c>
      <c r="N68" s="3">
        <v>587</v>
      </c>
    </row>
    <row r="69" spans="1:14" x14ac:dyDescent="0.25">
      <c r="A69" s="4" t="str">
        <f t="shared" si="1"/>
        <v>تفاصيل إضافية للشركة</v>
      </c>
      <c r="B69" t="s">
        <v>195</v>
      </c>
      <c r="K69" s="2"/>
      <c r="L69" s="3"/>
      <c r="M69" s="3"/>
      <c r="N69" s="3"/>
    </row>
    <row r="70" spans="1:14" x14ac:dyDescent="0.25">
      <c r="A70" s="4" t="str">
        <f t="shared" si="1"/>
        <v>مدينة مصر للاسكان والتعمير</v>
      </c>
      <c r="B70" t="s">
        <v>421</v>
      </c>
      <c r="C70" t="s">
        <v>40</v>
      </c>
      <c r="D70">
        <v>7.13</v>
      </c>
      <c r="E70">
        <v>7.13</v>
      </c>
      <c r="F70">
        <v>7.3</v>
      </c>
      <c r="G70">
        <v>2.38</v>
      </c>
      <c r="H70">
        <v>7.3</v>
      </c>
      <c r="I70">
        <v>7.4</v>
      </c>
      <c r="J70">
        <v>7.05</v>
      </c>
      <c r="K70" s="2">
        <v>76534108.260000005</v>
      </c>
      <c r="L70" s="3">
        <v>10553166</v>
      </c>
      <c r="M70" s="3">
        <v>1368</v>
      </c>
      <c r="N70" s="3">
        <v>15586</v>
      </c>
    </row>
    <row r="71" spans="1:14" x14ac:dyDescent="0.25">
      <c r="A71" s="4" t="str">
        <f t="shared" si="1"/>
        <v>تفاصيل إضافية للشركة</v>
      </c>
      <c r="B71" t="s">
        <v>103</v>
      </c>
      <c r="K71" s="2"/>
      <c r="L71" s="3"/>
      <c r="M71" s="3"/>
      <c r="N71" s="3"/>
    </row>
    <row r="72" spans="1:14" x14ac:dyDescent="0.25">
      <c r="A72" s="4" t="str">
        <f t="shared" si="1"/>
        <v>العربية لاستصلاح الاراضي</v>
      </c>
      <c r="B72" t="s">
        <v>421</v>
      </c>
      <c r="C72" t="s">
        <v>71</v>
      </c>
      <c r="D72">
        <v>353.48</v>
      </c>
      <c r="E72">
        <v>353.48</v>
      </c>
      <c r="F72">
        <v>357.56</v>
      </c>
      <c r="G72">
        <v>1.1499999999999999</v>
      </c>
      <c r="H72">
        <v>353.29</v>
      </c>
      <c r="I72">
        <v>361.5</v>
      </c>
      <c r="J72">
        <v>350.2</v>
      </c>
      <c r="K72" s="2">
        <v>2492238.62</v>
      </c>
      <c r="L72" s="3">
        <v>6985</v>
      </c>
      <c r="M72" s="3">
        <v>126</v>
      </c>
      <c r="N72" s="3">
        <v>1859</v>
      </c>
    </row>
    <row r="73" spans="1:14" x14ac:dyDescent="0.25">
      <c r="A73" s="4" t="str">
        <f t="shared" si="1"/>
        <v>تفاصيل إضافية للشركة</v>
      </c>
      <c r="B73" t="s">
        <v>122</v>
      </c>
      <c r="K73" s="2"/>
      <c r="L73" s="3"/>
      <c r="M73" s="3"/>
      <c r="N73" s="3"/>
    </row>
    <row r="74" spans="1:14" x14ac:dyDescent="0.25">
      <c r="A74" s="4" t="str">
        <f t="shared" si="1"/>
        <v>اودن للاستثمارات المالية</v>
      </c>
      <c r="B74" t="s">
        <v>421</v>
      </c>
      <c r="C74" t="s">
        <v>44</v>
      </c>
      <c r="D74">
        <v>2.17</v>
      </c>
      <c r="E74">
        <v>2.17</v>
      </c>
      <c r="F74">
        <v>2.21</v>
      </c>
      <c r="G74">
        <v>1.84</v>
      </c>
      <c r="H74">
        <v>2.21</v>
      </c>
      <c r="I74">
        <v>2.25</v>
      </c>
      <c r="J74">
        <v>2.17</v>
      </c>
      <c r="K74" s="2">
        <v>18780235.52</v>
      </c>
      <c r="L74" s="3">
        <v>8489467</v>
      </c>
      <c r="M74" s="3">
        <v>577</v>
      </c>
      <c r="N74" s="3">
        <v>1326</v>
      </c>
    </row>
    <row r="75" spans="1:14" x14ac:dyDescent="0.25">
      <c r="A75" s="4" t="str">
        <f t="shared" si="1"/>
        <v>تفاصيل إضافية للشركة</v>
      </c>
      <c r="B75" t="s">
        <v>422</v>
      </c>
      <c r="K75" s="2"/>
      <c r="L75" s="3"/>
      <c r="M75" s="3"/>
      <c r="N75" s="3"/>
    </row>
    <row r="76" spans="1:14" x14ac:dyDescent="0.25">
      <c r="A76" s="4" t="str">
        <f t="shared" si="1"/>
        <v>الحديد والصلب المصرية</v>
      </c>
      <c r="B76" t="s">
        <v>421</v>
      </c>
      <c r="C76" t="s">
        <v>61</v>
      </c>
      <c r="D76">
        <v>32.04</v>
      </c>
      <c r="E76">
        <v>32.04</v>
      </c>
      <c r="F76">
        <v>32.56</v>
      </c>
      <c r="G76">
        <v>1.62</v>
      </c>
      <c r="H76">
        <v>32.56</v>
      </c>
      <c r="I76">
        <v>33.4</v>
      </c>
      <c r="J76">
        <v>32.049999999999997</v>
      </c>
      <c r="K76" s="2">
        <v>12031043.560000001</v>
      </c>
      <c r="L76" s="3">
        <v>365112</v>
      </c>
      <c r="M76" s="3">
        <v>581</v>
      </c>
      <c r="N76" s="3">
        <v>31807</v>
      </c>
    </row>
    <row r="77" spans="1:14" x14ac:dyDescent="0.25">
      <c r="A77" s="4" t="str">
        <f t="shared" si="1"/>
        <v>تفاصيل إضافية للشركة</v>
      </c>
      <c r="B77" t="s">
        <v>202</v>
      </c>
      <c r="K77" s="2"/>
      <c r="L77" s="3"/>
      <c r="N77" s="3"/>
    </row>
    <row r="78" spans="1:14" x14ac:dyDescent="0.25">
      <c r="A78" s="4" t="str">
        <f t="shared" si="1"/>
        <v>مصر للفنادق</v>
      </c>
      <c r="B78" t="s">
        <v>421</v>
      </c>
      <c r="C78" t="s">
        <v>67</v>
      </c>
      <c r="D78">
        <v>29.73</v>
      </c>
      <c r="E78">
        <v>29.73</v>
      </c>
      <c r="F78">
        <v>29.87</v>
      </c>
      <c r="G78">
        <v>0.47</v>
      </c>
      <c r="H78">
        <v>29.87</v>
      </c>
      <c r="I78">
        <v>30.79</v>
      </c>
      <c r="J78">
        <v>29.6</v>
      </c>
      <c r="K78" s="2">
        <v>8494898.3800000008</v>
      </c>
      <c r="L78" s="3">
        <v>281563</v>
      </c>
      <c r="M78" s="3">
        <v>353</v>
      </c>
      <c r="N78" s="3">
        <v>11829</v>
      </c>
    </row>
    <row r="79" spans="1:14" x14ac:dyDescent="0.25">
      <c r="A79" s="4" t="str">
        <f t="shared" si="1"/>
        <v>تفاصيل إضافية للشركة</v>
      </c>
      <c r="B79" t="s">
        <v>15</v>
      </c>
      <c r="K79" s="2"/>
      <c r="L79" s="3"/>
      <c r="N79" s="3"/>
    </row>
    <row r="80" spans="1:14" x14ac:dyDescent="0.25">
      <c r="A80" s="4" t="str">
        <f t="shared" si="1"/>
        <v>الاسكندرية للخدمات الطبية - المركز الطبى الجديد - الاسكندرية</v>
      </c>
      <c r="B80" t="s">
        <v>421</v>
      </c>
      <c r="C80" t="s">
        <v>51</v>
      </c>
      <c r="D80">
        <v>48.88</v>
      </c>
      <c r="E80">
        <v>48.88</v>
      </c>
      <c r="F80">
        <v>48.9</v>
      </c>
      <c r="G80">
        <v>0.04</v>
      </c>
      <c r="H80">
        <v>48.9</v>
      </c>
      <c r="I80">
        <v>49.3</v>
      </c>
      <c r="J80">
        <v>48.6</v>
      </c>
      <c r="K80" s="2">
        <v>405761.79</v>
      </c>
      <c r="L80" s="3">
        <v>8304</v>
      </c>
      <c r="M80" s="3">
        <v>97</v>
      </c>
      <c r="N80" s="3">
        <v>6092</v>
      </c>
    </row>
    <row r="81" spans="1:14" x14ac:dyDescent="0.25">
      <c r="A81" s="4" t="str">
        <f t="shared" si="1"/>
        <v>تفاصيل إضافية للشركة</v>
      </c>
      <c r="B81" t="s">
        <v>204</v>
      </c>
      <c r="K81" s="2"/>
      <c r="L81" s="3"/>
      <c r="M81" s="3"/>
      <c r="N81" s="3"/>
    </row>
    <row r="82" spans="1:14" x14ac:dyDescent="0.25">
      <c r="A82" s="4" t="str">
        <f t="shared" si="1"/>
        <v>ام.ام جروب للصناعة والتجارة العالمية</v>
      </c>
      <c r="B82" t="s">
        <v>421</v>
      </c>
      <c r="C82" t="s">
        <v>54</v>
      </c>
      <c r="D82">
        <v>9.23</v>
      </c>
      <c r="E82">
        <v>9.23</v>
      </c>
      <c r="F82">
        <v>9.25</v>
      </c>
      <c r="G82">
        <v>0.22</v>
      </c>
      <c r="H82">
        <v>9.25</v>
      </c>
      <c r="I82">
        <v>9.6</v>
      </c>
      <c r="J82">
        <v>9.18</v>
      </c>
      <c r="K82" s="2">
        <v>71459170.75</v>
      </c>
      <c r="L82" s="3">
        <v>7572327</v>
      </c>
      <c r="M82" s="3">
        <v>2416</v>
      </c>
      <c r="N82" s="3">
        <v>17467</v>
      </c>
    </row>
    <row r="83" spans="1:14" x14ac:dyDescent="0.25">
      <c r="A83" s="4" t="str">
        <f t="shared" si="1"/>
        <v>تفاصيل إضافية للشركة</v>
      </c>
      <c r="B83" t="s">
        <v>57</v>
      </c>
      <c r="K83" s="2"/>
      <c r="L83" s="3"/>
      <c r="M83" s="3"/>
      <c r="N83" s="3"/>
    </row>
    <row r="84" spans="1:14" x14ac:dyDescent="0.25">
      <c r="A84" s="4" t="str">
        <f t="shared" si="1"/>
        <v>سماد مصر (ايجيفرت)</v>
      </c>
      <c r="B84" t="s">
        <v>421</v>
      </c>
      <c r="C84" t="s">
        <v>54</v>
      </c>
      <c r="D84">
        <v>204.19</v>
      </c>
      <c r="E84">
        <v>204.19</v>
      </c>
      <c r="F84">
        <v>203.84</v>
      </c>
      <c r="G84">
        <v>-0.17</v>
      </c>
      <c r="H84">
        <v>203.61</v>
      </c>
      <c r="I84">
        <v>206</v>
      </c>
      <c r="J84">
        <v>203.17</v>
      </c>
      <c r="K84" s="2">
        <v>888619.44</v>
      </c>
      <c r="L84" s="3">
        <v>4343</v>
      </c>
      <c r="M84" s="3">
        <v>71</v>
      </c>
      <c r="N84" s="3">
        <v>1957</v>
      </c>
    </row>
    <row r="85" spans="1:14" x14ac:dyDescent="0.25">
      <c r="A85" s="4" t="str">
        <f t="shared" si="1"/>
        <v>تفاصيل إضافية للشركة</v>
      </c>
      <c r="B85" t="s">
        <v>108</v>
      </c>
      <c r="K85" s="2"/>
      <c r="L85" s="3"/>
      <c r="M85" s="3"/>
      <c r="N85" s="3"/>
    </row>
    <row r="86" spans="1:14" x14ac:dyDescent="0.25">
      <c r="A86" s="4" t="str">
        <f t="shared" si="1"/>
        <v>بنك كريدي اجريكول مصر</v>
      </c>
      <c r="B86" t="s">
        <v>421</v>
      </c>
      <c r="C86" t="s">
        <v>49</v>
      </c>
      <c r="D86">
        <v>23.48</v>
      </c>
      <c r="E86">
        <v>23.48</v>
      </c>
      <c r="F86">
        <v>23.9</v>
      </c>
      <c r="G86">
        <v>1.79</v>
      </c>
      <c r="H86">
        <v>23.9</v>
      </c>
      <c r="I86">
        <v>23.9</v>
      </c>
      <c r="J86">
        <v>23.45</v>
      </c>
      <c r="K86" s="2">
        <v>8949406.1300000008</v>
      </c>
      <c r="L86" s="3">
        <v>378206</v>
      </c>
      <c r="M86" s="3">
        <v>404</v>
      </c>
      <c r="N86" s="3">
        <v>29875</v>
      </c>
    </row>
    <row r="87" spans="1:14" x14ac:dyDescent="0.25">
      <c r="A87" s="4" t="str">
        <f t="shared" si="1"/>
        <v>تفاصيل إضافية للشركة</v>
      </c>
      <c r="B87" t="s">
        <v>207</v>
      </c>
      <c r="K87" s="2"/>
      <c r="L87" s="3"/>
      <c r="N87" s="3"/>
    </row>
    <row r="88" spans="1:14" x14ac:dyDescent="0.25">
      <c r="A88" s="4" t="str">
        <f t="shared" si="1"/>
        <v>العربية للصناعات الهندسية</v>
      </c>
      <c r="B88" t="s">
        <v>421</v>
      </c>
      <c r="C88" t="s">
        <v>46</v>
      </c>
      <c r="D88">
        <v>2.37</v>
      </c>
      <c r="E88">
        <v>2.37</v>
      </c>
      <c r="F88">
        <v>2.42</v>
      </c>
      <c r="G88">
        <v>2.11</v>
      </c>
      <c r="H88">
        <v>2.42</v>
      </c>
      <c r="I88">
        <v>2.4500000000000002</v>
      </c>
      <c r="J88">
        <v>2.36</v>
      </c>
      <c r="K88" s="2">
        <v>10812188.85</v>
      </c>
      <c r="L88" s="3">
        <v>4485277</v>
      </c>
      <c r="M88" s="3">
        <v>341</v>
      </c>
      <c r="N88" s="3">
        <v>538</v>
      </c>
    </row>
    <row r="89" spans="1:14" x14ac:dyDescent="0.25">
      <c r="A89" s="4" t="str">
        <f t="shared" si="1"/>
        <v>تفاصيل إضافية للشركة</v>
      </c>
      <c r="B89" t="s">
        <v>109</v>
      </c>
      <c r="K89" s="2"/>
      <c r="L89" s="3"/>
      <c r="M89" s="3"/>
      <c r="N89" s="3"/>
    </row>
    <row r="90" spans="1:14" x14ac:dyDescent="0.25">
      <c r="A90" s="4" t="str">
        <f t="shared" si="1"/>
        <v>المصرية لخدمات النقل والتجارة ايجيترانس نوسكو</v>
      </c>
      <c r="B90" t="s">
        <v>421</v>
      </c>
      <c r="C90" t="s">
        <v>111</v>
      </c>
      <c r="D90">
        <v>10.1</v>
      </c>
      <c r="E90">
        <v>10.1</v>
      </c>
      <c r="F90">
        <v>9.9700000000000006</v>
      </c>
      <c r="G90">
        <v>-1.29</v>
      </c>
      <c r="H90">
        <v>9.9700000000000006</v>
      </c>
      <c r="I90">
        <v>10.17</v>
      </c>
      <c r="J90">
        <v>9.84</v>
      </c>
      <c r="K90" s="2">
        <v>32199086.379999999</v>
      </c>
      <c r="L90" s="3">
        <v>3217625</v>
      </c>
      <c r="M90" s="3">
        <v>630</v>
      </c>
      <c r="N90" s="3">
        <v>2243</v>
      </c>
    </row>
    <row r="91" spans="1:14" x14ac:dyDescent="0.25">
      <c r="A91" s="4" t="str">
        <f t="shared" si="1"/>
        <v>تفاصيل إضافية للشركة</v>
      </c>
      <c r="B91" t="s">
        <v>1152</v>
      </c>
      <c r="K91" s="2"/>
      <c r="L91" s="3"/>
      <c r="M91" s="3"/>
      <c r="N91" s="3"/>
    </row>
    <row r="92" spans="1:14" x14ac:dyDescent="0.25">
      <c r="A92" s="4" t="str">
        <f t="shared" si="1"/>
        <v>الاسكندرية لتداول الحاويات والبضائع</v>
      </c>
      <c r="B92" t="s">
        <v>421</v>
      </c>
      <c r="C92" t="s">
        <v>111</v>
      </c>
      <c r="D92">
        <v>28.85</v>
      </c>
      <c r="E92">
        <v>28.85</v>
      </c>
      <c r="F92">
        <v>28.61</v>
      </c>
      <c r="G92">
        <v>-0.83</v>
      </c>
      <c r="H92">
        <v>28.61</v>
      </c>
      <c r="I92">
        <v>29</v>
      </c>
      <c r="J92">
        <v>28.31</v>
      </c>
      <c r="K92" s="2">
        <v>7776548.25</v>
      </c>
      <c r="L92" s="3">
        <v>271819</v>
      </c>
      <c r="M92" s="3">
        <v>561</v>
      </c>
      <c r="N92" s="3">
        <v>85244</v>
      </c>
    </row>
    <row r="93" spans="1:14" x14ac:dyDescent="0.25">
      <c r="A93" s="4" t="str">
        <f t="shared" si="1"/>
        <v>تفاصيل إضافية للشركة</v>
      </c>
      <c r="B93" t="s">
        <v>112</v>
      </c>
      <c r="K93" s="2"/>
      <c r="L93" s="3"/>
      <c r="M93" s="3"/>
      <c r="N93" s="3"/>
    </row>
    <row r="94" spans="1:14" x14ac:dyDescent="0.25">
      <c r="A94" s="4" t="str">
        <f t="shared" si="1"/>
        <v>راية لخدمات مراكز الاتصالات</v>
      </c>
      <c r="B94" t="s">
        <v>421</v>
      </c>
      <c r="C94" t="s">
        <v>59</v>
      </c>
      <c r="D94">
        <v>9.68</v>
      </c>
      <c r="E94">
        <v>9.68</v>
      </c>
      <c r="F94">
        <v>9.69</v>
      </c>
      <c r="G94">
        <v>0.1</v>
      </c>
      <c r="H94">
        <v>9.69</v>
      </c>
      <c r="I94">
        <v>9.86</v>
      </c>
      <c r="J94">
        <v>9.69</v>
      </c>
      <c r="K94" s="2">
        <v>4075798.47</v>
      </c>
      <c r="L94" s="3">
        <v>417281</v>
      </c>
      <c r="M94" s="3">
        <v>328</v>
      </c>
      <c r="N94" s="3">
        <v>1930</v>
      </c>
    </row>
    <row r="95" spans="1:14" x14ac:dyDescent="0.25">
      <c r="A95" s="4" t="str">
        <f t="shared" si="1"/>
        <v>تفاصيل إضافية للشركة</v>
      </c>
      <c r="B95" t="s">
        <v>210</v>
      </c>
      <c r="K95" s="2"/>
      <c r="L95" s="3"/>
      <c r="M95" s="3"/>
      <c r="N95" s="3"/>
    </row>
    <row r="96" spans="1:14" x14ac:dyDescent="0.25">
      <c r="A96" s="4" t="str">
        <f t="shared" si="1"/>
        <v>اوراسكوم كونستراكشون بي ال سي</v>
      </c>
      <c r="B96" t="s">
        <v>421</v>
      </c>
      <c r="C96" t="s">
        <v>71</v>
      </c>
      <c r="D96">
        <v>780</v>
      </c>
      <c r="E96">
        <v>780</v>
      </c>
      <c r="F96">
        <v>785</v>
      </c>
      <c r="G96">
        <v>0.64</v>
      </c>
      <c r="H96">
        <v>785</v>
      </c>
      <c r="I96">
        <v>788</v>
      </c>
      <c r="J96">
        <v>780.01</v>
      </c>
      <c r="K96" s="2">
        <v>159794277.22999999</v>
      </c>
      <c r="L96" s="3">
        <v>203672</v>
      </c>
      <c r="M96" s="3">
        <v>1504</v>
      </c>
      <c r="N96" s="3">
        <v>86541</v>
      </c>
    </row>
    <row r="97" spans="1:14" x14ac:dyDescent="0.25">
      <c r="A97" s="4" t="str">
        <f t="shared" si="1"/>
        <v>تفاصيل إضافية للشركة</v>
      </c>
      <c r="B97" t="s">
        <v>113</v>
      </c>
      <c r="K97" s="2"/>
      <c r="L97" s="3"/>
      <c r="M97" s="3"/>
      <c r="N97" s="3"/>
    </row>
    <row r="98" spans="1:14" x14ac:dyDescent="0.25">
      <c r="A98" s="4" t="str">
        <f t="shared" si="1"/>
        <v>العبوات الطبية</v>
      </c>
      <c r="B98" t="s">
        <v>421</v>
      </c>
      <c r="C98" t="s">
        <v>51</v>
      </c>
      <c r="D98">
        <v>1.7</v>
      </c>
      <c r="E98">
        <v>1.7</v>
      </c>
      <c r="F98">
        <v>1.7</v>
      </c>
      <c r="G98">
        <v>0</v>
      </c>
      <c r="H98">
        <v>1.7</v>
      </c>
      <c r="I98">
        <v>1.71</v>
      </c>
      <c r="J98">
        <v>1.69</v>
      </c>
      <c r="K98" s="2">
        <v>7354718.96</v>
      </c>
      <c r="L98" s="3">
        <v>4326752</v>
      </c>
      <c r="M98" s="3">
        <v>288</v>
      </c>
      <c r="N98" s="3">
        <v>1114</v>
      </c>
    </row>
    <row r="99" spans="1:14" x14ac:dyDescent="0.25">
      <c r="A99" s="4" t="str">
        <f t="shared" si="1"/>
        <v>تفاصيل إضافية للشركة</v>
      </c>
      <c r="B99" t="s">
        <v>8</v>
      </c>
      <c r="K99" s="2"/>
      <c r="L99" s="3"/>
      <c r="M99" s="3"/>
      <c r="N99" s="3"/>
    </row>
    <row r="100" spans="1:14" x14ac:dyDescent="0.25">
      <c r="A100" s="4" t="str">
        <f t="shared" si="1"/>
        <v>اطلس للاستثمار والصناعات الغذائية</v>
      </c>
      <c r="B100" t="s">
        <v>421</v>
      </c>
      <c r="C100" t="s">
        <v>40</v>
      </c>
      <c r="D100">
        <v>1.95</v>
      </c>
      <c r="E100">
        <v>1.95</v>
      </c>
      <c r="F100">
        <v>2</v>
      </c>
      <c r="G100">
        <v>2.56</v>
      </c>
      <c r="H100">
        <v>2</v>
      </c>
      <c r="I100">
        <v>2.04</v>
      </c>
      <c r="J100">
        <v>1.94</v>
      </c>
      <c r="K100" s="2">
        <v>33191724.359999999</v>
      </c>
      <c r="L100" s="3">
        <v>16605694</v>
      </c>
      <c r="M100" s="3">
        <v>780</v>
      </c>
      <c r="N100" s="3">
        <v>2303</v>
      </c>
    </row>
    <row r="101" spans="1:14" x14ac:dyDescent="0.25">
      <c r="A101" s="4" t="str">
        <f t="shared" si="1"/>
        <v>تفاصيل إضافية للشركة</v>
      </c>
      <c r="B101" t="s">
        <v>222</v>
      </c>
      <c r="K101" s="2"/>
      <c r="L101" s="3"/>
      <c r="M101" s="3"/>
      <c r="N101" s="3"/>
    </row>
    <row r="102" spans="1:14" x14ac:dyDescent="0.25">
      <c r="A102" s="4" t="str">
        <f t="shared" si="1"/>
        <v>EGX 30 INDEX ETF-وثائق استثمار شركة صناديق المؤشرات</v>
      </c>
      <c r="B102" t="s">
        <v>421</v>
      </c>
      <c r="C102" t="s">
        <v>44</v>
      </c>
      <c r="D102">
        <v>60.28</v>
      </c>
      <c r="E102">
        <v>60.28</v>
      </c>
      <c r="F102">
        <v>60.12</v>
      </c>
      <c r="G102">
        <v>-0.27</v>
      </c>
      <c r="H102">
        <v>59.85</v>
      </c>
      <c r="I102">
        <v>60.95</v>
      </c>
      <c r="J102">
        <v>59.54</v>
      </c>
      <c r="K102" s="2">
        <v>1677437.5</v>
      </c>
      <c r="L102" s="3">
        <v>27810</v>
      </c>
      <c r="M102" s="3">
        <v>226</v>
      </c>
      <c r="N102" s="3">
        <v>331</v>
      </c>
    </row>
    <row r="103" spans="1:14" x14ac:dyDescent="0.25">
      <c r="A103" s="4" t="str">
        <f t="shared" si="1"/>
        <v>تفاصيل إضافية للشركة</v>
      </c>
      <c r="B103" t="s">
        <v>224</v>
      </c>
      <c r="K103" s="2"/>
      <c r="L103" s="3"/>
      <c r="M103" s="3"/>
      <c r="N103" s="3"/>
    </row>
    <row r="104" spans="1:14" x14ac:dyDescent="0.25">
      <c r="A104" s="4" t="str">
        <f t="shared" si="1"/>
        <v>عبور لاند للصناعات الغذائية</v>
      </c>
      <c r="B104" t="s">
        <v>421</v>
      </c>
      <c r="C104" t="s">
        <v>48</v>
      </c>
      <c r="D104">
        <v>22.37</v>
      </c>
      <c r="E104">
        <v>22.37</v>
      </c>
      <c r="F104">
        <v>22</v>
      </c>
      <c r="G104">
        <v>-1.65</v>
      </c>
      <c r="H104">
        <v>22</v>
      </c>
      <c r="I104">
        <v>22.46</v>
      </c>
      <c r="J104">
        <v>21.85</v>
      </c>
      <c r="K104" s="2">
        <v>22284913.940000001</v>
      </c>
      <c r="L104" s="3">
        <v>1012649</v>
      </c>
      <c r="M104" s="3">
        <v>908</v>
      </c>
      <c r="N104" s="3">
        <v>8800</v>
      </c>
    </row>
    <row r="105" spans="1:14" x14ac:dyDescent="0.25">
      <c r="A105" s="4" t="str">
        <f t="shared" si="1"/>
        <v>تفاصيل إضافية للشركة</v>
      </c>
      <c r="B105" t="s">
        <v>225</v>
      </c>
      <c r="K105" s="2"/>
      <c r="L105" s="3"/>
      <c r="M105" s="3"/>
      <c r="N105" s="3"/>
    </row>
    <row r="106" spans="1:14" x14ac:dyDescent="0.25">
      <c r="A106" s="4" t="str">
        <f t="shared" si="1"/>
        <v>الحديد والصلب للمناجم والمحاجر</v>
      </c>
      <c r="B106" t="s">
        <v>421</v>
      </c>
      <c r="C106" t="s">
        <v>61</v>
      </c>
      <c r="D106">
        <v>8.14</v>
      </c>
      <c r="E106">
        <v>8.14</v>
      </c>
      <c r="F106">
        <v>8.1</v>
      </c>
      <c r="G106">
        <v>-0.49</v>
      </c>
      <c r="H106">
        <v>8.1</v>
      </c>
      <c r="I106">
        <v>8.35</v>
      </c>
      <c r="J106">
        <v>8.08</v>
      </c>
      <c r="K106" s="2">
        <v>118668798.06999999</v>
      </c>
      <c r="L106" s="3">
        <v>14443352</v>
      </c>
      <c r="M106" s="3">
        <v>1509</v>
      </c>
      <c r="N106" s="3">
        <v>7913</v>
      </c>
    </row>
    <row r="107" spans="1:14" x14ac:dyDescent="0.25">
      <c r="A107" s="4" t="str">
        <f t="shared" si="1"/>
        <v>تفاصيل إضافية للشركة</v>
      </c>
      <c r="B107" t="s">
        <v>229</v>
      </c>
      <c r="K107" s="2"/>
      <c r="L107" s="3"/>
      <c r="M107" s="3"/>
      <c r="N107" s="3"/>
    </row>
    <row r="108" spans="1:14" x14ac:dyDescent="0.25">
      <c r="A108" s="4" t="str">
        <f t="shared" si="1"/>
        <v>العاشر من رمضان للصناعات الدوائية والمستحضرات تشخيصية-راميدا</v>
      </c>
      <c r="B108" t="s">
        <v>421</v>
      </c>
      <c r="C108" t="s">
        <v>51</v>
      </c>
      <c r="D108">
        <v>5.1100000000000003</v>
      </c>
      <c r="E108">
        <v>5.1100000000000003</v>
      </c>
      <c r="F108">
        <v>5.09</v>
      </c>
      <c r="G108">
        <v>-0.39</v>
      </c>
      <c r="H108">
        <v>5.09</v>
      </c>
      <c r="I108">
        <v>5.16</v>
      </c>
      <c r="J108">
        <v>5.08</v>
      </c>
      <c r="K108" s="2">
        <v>13790117.01</v>
      </c>
      <c r="L108" s="3">
        <v>2698500</v>
      </c>
      <c r="M108" s="3">
        <v>675</v>
      </c>
      <c r="N108" s="3">
        <v>10180</v>
      </c>
    </row>
    <row r="109" spans="1:14" x14ac:dyDescent="0.25">
      <c r="A109" s="4" t="str">
        <f t="shared" si="1"/>
        <v>تفاصيل إضافية للشركة</v>
      </c>
      <c r="B109" t="s">
        <v>231</v>
      </c>
      <c r="K109" s="2"/>
      <c r="L109" s="3"/>
      <c r="M109" s="3"/>
      <c r="N109" s="3"/>
    </row>
    <row r="110" spans="1:14" x14ac:dyDescent="0.25">
      <c r="A110" s="4" t="str">
        <f t="shared" si="1"/>
        <v>اي فاينانس للاستثمارات المالية والرقمية</v>
      </c>
      <c r="B110" t="s">
        <v>421</v>
      </c>
      <c r="C110" t="s">
        <v>59</v>
      </c>
      <c r="D110">
        <v>21.58</v>
      </c>
      <c r="E110">
        <v>21.58</v>
      </c>
      <c r="F110">
        <v>21</v>
      </c>
      <c r="G110">
        <v>-2.69</v>
      </c>
      <c r="H110">
        <v>21</v>
      </c>
      <c r="I110">
        <v>21.58</v>
      </c>
      <c r="J110">
        <v>20.96</v>
      </c>
      <c r="K110" s="2">
        <v>27682922.050000001</v>
      </c>
      <c r="L110" s="3">
        <v>1308796</v>
      </c>
      <c r="M110" s="3">
        <v>1289</v>
      </c>
      <c r="N110" s="3">
        <v>72800</v>
      </c>
    </row>
    <row r="111" spans="1:14" x14ac:dyDescent="0.25">
      <c r="A111" s="4" t="str">
        <f t="shared" si="1"/>
        <v>تفاصيل إضافية للشركة</v>
      </c>
      <c r="B111" t="s">
        <v>64</v>
      </c>
      <c r="K111" s="2"/>
      <c r="L111" s="3"/>
      <c r="M111" s="3"/>
      <c r="N111" s="3"/>
    </row>
    <row r="112" spans="1:14" x14ac:dyDescent="0.25">
      <c r="A112" s="4" t="str">
        <f t="shared" si="1"/>
        <v>المصرية لنظم التعليم الحديثة</v>
      </c>
      <c r="B112" t="s">
        <v>421</v>
      </c>
      <c r="C112" t="s">
        <v>77</v>
      </c>
      <c r="D112">
        <v>0.71099999999999997</v>
      </c>
      <c r="E112">
        <v>0.71099999999999997</v>
      </c>
      <c r="F112">
        <v>0.70799999999999996</v>
      </c>
      <c r="G112">
        <v>-0.42</v>
      </c>
      <c r="H112">
        <v>0.70799999999999996</v>
      </c>
      <c r="I112">
        <v>0.71799999999999997</v>
      </c>
      <c r="J112">
        <v>0.70699999999999996</v>
      </c>
      <c r="K112" s="2">
        <v>17155652.68</v>
      </c>
      <c r="L112" s="3">
        <v>24080456</v>
      </c>
      <c r="M112" s="3">
        <v>652</v>
      </c>
      <c r="N112" s="3">
        <v>712</v>
      </c>
    </row>
    <row r="113" spans="1:14" x14ac:dyDescent="0.25">
      <c r="A113" s="4" t="str">
        <f t="shared" si="1"/>
        <v>تفاصيل إضافية للشركة</v>
      </c>
      <c r="B113" t="s">
        <v>127</v>
      </c>
      <c r="K113" s="2"/>
      <c r="L113" s="3"/>
      <c r="M113" s="3"/>
      <c r="N113" s="3"/>
    </row>
    <row r="114" spans="1:14" x14ac:dyDescent="0.25">
      <c r="A114" s="4" t="str">
        <f t="shared" si="1"/>
        <v>شارم دريمز للاستثمار السياحى</v>
      </c>
      <c r="B114" t="s">
        <v>421</v>
      </c>
      <c r="C114" t="s">
        <v>67</v>
      </c>
      <c r="D114">
        <v>46.96</v>
      </c>
      <c r="E114">
        <v>46.96</v>
      </c>
      <c r="F114">
        <v>46.94</v>
      </c>
      <c r="G114">
        <v>-0.04</v>
      </c>
      <c r="H114">
        <v>46.94</v>
      </c>
      <c r="I114">
        <v>47.74</v>
      </c>
      <c r="J114">
        <v>46.31</v>
      </c>
      <c r="K114" s="2">
        <v>3627903.53</v>
      </c>
      <c r="L114" s="3">
        <v>77143</v>
      </c>
      <c r="M114" s="3">
        <v>122</v>
      </c>
      <c r="N114" s="3">
        <v>2487</v>
      </c>
    </row>
    <row r="115" spans="1:14" x14ac:dyDescent="0.25">
      <c r="A115" s="4" t="str">
        <f t="shared" si="1"/>
        <v>تفاصيل إضافية للشركة</v>
      </c>
      <c r="B115" t="s">
        <v>66</v>
      </c>
      <c r="K115" s="2"/>
      <c r="L115" s="3"/>
      <c r="M115" s="3"/>
      <c r="N115" s="3"/>
    </row>
    <row r="116" spans="1:14" x14ac:dyDescent="0.25">
      <c r="A116" s="4" t="str">
        <f t="shared" si="1"/>
        <v>الاسماعيلية الوطنية للصناعات الغذائية (فوديكو)</v>
      </c>
      <c r="B116" t="s">
        <v>421</v>
      </c>
      <c r="C116" t="s">
        <v>48</v>
      </c>
      <c r="D116">
        <v>98.25</v>
      </c>
      <c r="E116">
        <v>98.25</v>
      </c>
      <c r="F116">
        <v>98.53</v>
      </c>
      <c r="G116">
        <v>0.28000000000000003</v>
      </c>
      <c r="H116">
        <v>98.53</v>
      </c>
      <c r="I116">
        <v>99.3</v>
      </c>
      <c r="J116">
        <v>98.01</v>
      </c>
      <c r="K116" s="2">
        <v>2557484.2200000002</v>
      </c>
      <c r="L116" s="3">
        <v>25955</v>
      </c>
      <c r="M116" s="3">
        <v>123</v>
      </c>
      <c r="N116" s="3">
        <v>2007</v>
      </c>
    </row>
    <row r="117" spans="1:14" x14ac:dyDescent="0.25">
      <c r="A117" s="4" t="str">
        <f t="shared" si="1"/>
        <v>تفاصيل إضافية للشركة</v>
      </c>
      <c r="B117" t="s">
        <v>68</v>
      </c>
      <c r="K117" s="2"/>
      <c r="L117" s="3"/>
      <c r="M117" s="3"/>
      <c r="N117" s="3"/>
    </row>
    <row r="118" spans="1:14" x14ac:dyDescent="0.25">
      <c r="A118" s="4" t="str">
        <f t="shared" si="1"/>
        <v>القاهرة للدواجن</v>
      </c>
      <c r="B118" t="s">
        <v>421</v>
      </c>
      <c r="C118" t="s">
        <v>48</v>
      </c>
      <c r="D118">
        <v>36.6</v>
      </c>
      <c r="E118">
        <v>36.6</v>
      </c>
      <c r="F118">
        <v>36.01</v>
      </c>
      <c r="G118">
        <v>-1.61</v>
      </c>
      <c r="H118">
        <v>36.01</v>
      </c>
      <c r="I118">
        <v>37.25</v>
      </c>
      <c r="J118">
        <v>36.01</v>
      </c>
      <c r="K118" s="2">
        <v>29897370.390000001</v>
      </c>
      <c r="L118" s="3">
        <v>817371</v>
      </c>
      <c r="M118" s="3">
        <v>1299</v>
      </c>
      <c r="N118" s="3">
        <v>17249</v>
      </c>
    </row>
    <row r="119" spans="1:14" x14ac:dyDescent="0.25">
      <c r="A119" s="4" t="str">
        <f t="shared" si="1"/>
        <v>تفاصيل إضافية للشركة</v>
      </c>
      <c r="B119" t="s">
        <v>5</v>
      </c>
      <c r="K119" s="2"/>
      <c r="L119" s="3"/>
      <c r="M119" s="3"/>
      <c r="N119" s="3"/>
    </row>
    <row r="120" spans="1:14" x14ac:dyDescent="0.25">
      <c r="A120" s="4" t="str">
        <f t="shared" si="1"/>
        <v>زهراء المعادي للاستثمار والتعمير</v>
      </c>
      <c r="B120" t="s">
        <v>421</v>
      </c>
      <c r="C120" t="s">
        <v>40</v>
      </c>
      <c r="D120">
        <v>6.17</v>
      </c>
      <c r="E120">
        <v>6.17</v>
      </c>
      <c r="F120">
        <v>6.17</v>
      </c>
      <c r="G120">
        <v>0</v>
      </c>
      <c r="H120">
        <v>6.17</v>
      </c>
      <c r="I120">
        <v>6.28</v>
      </c>
      <c r="J120">
        <v>6.11</v>
      </c>
      <c r="K120" s="2">
        <v>87080434.079999998</v>
      </c>
      <c r="L120" s="3">
        <v>14055725</v>
      </c>
      <c r="M120" s="3">
        <v>1466</v>
      </c>
      <c r="N120" s="3">
        <v>6170</v>
      </c>
    </row>
    <row r="121" spans="1:14" x14ac:dyDescent="0.25">
      <c r="A121" s="4" t="str">
        <f t="shared" si="1"/>
        <v>تفاصيل إضافية للشركة</v>
      </c>
      <c r="B121" t="s">
        <v>69</v>
      </c>
      <c r="K121" s="2"/>
      <c r="L121" s="3"/>
      <c r="M121" s="3"/>
      <c r="N121" s="3"/>
    </row>
    <row r="122" spans="1:14" x14ac:dyDescent="0.25">
      <c r="A122" s="4" t="str">
        <f t="shared" si="1"/>
        <v>الجيزةالعامة للمقاولات والاستثمارالعقارى</v>
      </c>
      <c r="B122" t="s">
        <v>421</v>
      </c>
      <c r="C122" t="s">
        <v>71</v>
      </c>
      <c r="D122">
        <v>0.40699999999999997</v>
      </c>
      <c r="E122">
        <v>0.40699999999999997</v>
      </c>
      <c r="F122">
        <v>0.41399999999999998</v>
      </c>
      <c r="G122">
        <v>1.72</v>
      </c>
      <c r="H122">
        <v>0.41399999999999998</v>
      </c>
      <c r="I122">
        <v>0.41799999999999998</v>
      </c>
      <c r="J122">
        <v>0.40699999999999997</v>
      </c>
      <c r="K122" s="2">
        <v>6167590.5</v>
      </c>
      <c r="L122" s="3">
        <v>14977371</v>
      </c>
      <c r="M122" s="3">
        <v>307</v>
      </c>
      <c r="N122" s="3">
        <v>896</v>
      </c>
    </row>
    <row r="123" spans="1:14" x14ac:dyDescent="0.25">
      <c r="A123" s="4" t="str">
        <f t="shared" si="1"/>
        <v>تفاصيل إضافية للشركة</v>
      </c>
      <c r="B123" t="s">
        <v>70</v>
      </c>
      <c r="K123" s="2"/>
      <c r="L123" s="3"/>
      <c r="M123" s="3"/>
      <c r="N123" s="3"/>
    </row>
    <row r="124" spans="1:14" x14ac:dyDescent="0.25">
      <c r="A124" s="4" t="str">
        <f t="shared" si="1"/>
        <v>شركة النصر للأعمال المدنية</v>
      </c>
      <c r="B124" t="s">
        <v>421</v>
      </c>
      <c r="C124" t="s">
        <v>71</v>
      </c>
      <c r="D124">
        <v>6.43</v>
      </c>
      <c r="E124">
        <v>6.43</v>
      </c>
      <c r="F124">
        <v>6.27</v>
      </c>
      <c r="G124">
        <v>-2.4900000000000002</v>
      </c>
      <c r="H124">
        <v>6.27</v>
      </c>
      <c r="I124">
        <v>6.47</v>
      </c>
      <c r="J124">
        <v>6.26</v>
      </c>
      <c r="K124" s="2">
        <v>11852482.75</v>
      </c>
      <c r="L124" s="3">
        <v>1874716</v>
      </c>
      <c r="M124" s="3">
        <v>673</v>
      </c>
      <c r="N124" s="3">
        <v>1317</v>
      </c>
    </row>
    <row r="125" spans="1:14" x14ac:dyDescent="0.25">
      <c r="A125" s="4" t="str">
        <f t="shared" si="1"/>
        <v>تفاصيل إضافية للشركة</v>
      </c>
      <c r="B125" t="s">
        <v>72</v>
      </c>
      <c r="K125" s="2"/>
      <c r="L125" s="3"/>
      <c r="M125" s="3"/>
      <c r="N125" s="3"/>
    </row>
    <row r="126" spans="1:14" x14ac:dyDescent="0.25">
      <c r="A126" s="4" t="str">
        <f t="shared" si="1"/>
        <v>(مجموعة عامر القابضة (عامر جروب</v>
      </c>
      <c r="B126" t="s">
        <v>421</v>
      </c>
      <c r="C126" t="s">
        <v>40</v>
      </c>
      <c r="D126">
        <v>2.63</v>
      </c>
      <c r="E126">
        <v>2.63</v>
      </c>
      <c r="F126">
        <v>2.4900000000000002</v>
      </c>
      <c r="G126">
        <v>-5.32</v>
      </c>
      <c r="H126">
        <v>2.4900000000000002</v>
      </c>
      <c r="I126">
        <v>2.68</v>
      </c>
      <c r="J126">
        <v>2.4700000000000002</v>
      </c>
      <c r="K126" s="2">
        <v>127204108.62</v>
      </c>
      <c r="L126" s="3">
        <v>49695100</v>
      </c>
      <c r="M126" s="3">
        <v>2561</v>
      </c>
      <c r="N126" s="3">
        <v>2248</v>
      </c>
    </row>
    <row r="127" spans="1:14" x14ac:dyDescent="0.25">
      <c r="A127" s="4" t="str">
        <f t="shared" si="1"/>
        <v>تفاصيل إضافية للشركة</v>
      </c>
      <c r="B127" t="s">
        <v>140</v>
      </c>
      <c r="K127" s="2"/>
      <c r="L127" s="3"/>
      <c r="M127" s="3"/>
      <c r="N127" s="3"/>
    </row>
    <row r="128" spans="1:14" x14ac:dyDescent="0.25">
      <c r="A128" s="4" t="str">
        <f t="shared" si="1"/>
        <v>بالم هيلز للتعمير</v>
      </c>
      <c r="B128" t="s">
        <v>421</v>
      </c>
      <c r="C128" t="s">
        <v>40</v>
      </c>
      <c r="D128">
        <v>16.010000000000002</v>
      </c>
      <c r="E128">
        <v>16.010000000000002</v>
      </c>
      <c r="F128">
        <v>15.8</v>
      </c>
      <c r="G128">
        <v>-1.31</v>
      </c>
      <c r="H128">
        <v>15.8</v>
      </c>
      <c r="I128">
        <v>16.13</v>
      </c>
      <c r="J128">
        <v>15.75</v>
      </c>
      <c r="K128" s="2">
        <v>625832015.62</v>
      </c>
      <c r="L128" s="3">
        <v>39253764</v>
      </c>
      <c r="M128" s="3">
        <v>5802</v>
      </c>
      <c r="N128" s="3">
        <v>45187</v>
      </c>
    </row>
    <row r="129" spans="1:14" x14ac:dyDescent="0.25">
      <c r="A129" s="4" t="str">
        <f t="shared" si="1"/>
        <v>تفاصيل إضافية للشركة</v>
      </c>
      <c r="B129" t="s">
        <v>142</v>
      </c>
      <c r="K129" s="2"/>
      <c r="L129" s="3"/>
      <c r="N129" s="3"/>
    </row>
    <row r="130" spans="1:14" x14ac:dyDescent="0.25">
      <c r="A130" s="4" t="str">
        <f t="shared" ref="A130:A193" si="2">B131</f>
        <v>مينا فارم للأدوية و الصناعات الكيماوية</v>
      </c>
      <c r="B130" t="s">
        <v>421</v>
      </c>
      <c r="C130" t="s">
        <v>51</v>
      </c>
      <c r="D130">
        <v>662.15</v>
      </c>
      <c r="E130">
        <v>662.15</v>
      </c>
      <c r="F130">
        <v>664.14</v>
      </c>
      <c r="G130">
        <v>0.3</v>
      </c>
      <c r="H130">
        <v>669.98</v>
      </c>
      <c r="I130">
        <v>670</v>
      </c>
      <c r="J130">
        <v>654</v>
      </c>
      <c r="K130" s="2">
        <v>1802889.12</v>
      </c>
      <c r="L130" s="3">
        <v>2709</v>
      </c>
      <c r="M130" s="3">
        <v>108</v>
      </c>
      <c r="N130" s="3">
        <v>7824</v>
      </c>
    </row>
    <row r="131" spans="1:14" x14ac:dyDescent="0.25">
      <c r="A131" s="4" t="str">
        <f t="shared" si="2"/>
        <v>تفاصيل إضافية للشركة</v>
      </c>
      <c r="B131" t="s">
        <v>145</v>
      </c>
      <c r="K131" s="2"/>
      <c r="L131" s="3"/>
      <c r="N131" s="3"/>
    </row>
    <row r="132" spans="1:14" x14ac:dyDescent="0.25">
      <c r="A132" s="4" t="str">
        <f t="shared" si="2"/>
        <v>سيدى كرير للبتروكيماويات - سيدبك</v>
      </c>
      <c r="B132" t="s">
        <v>421</v>
      </c>
      <c r="C132" t="s">
        <v>61</v>
      </c>
      <c r="D132">
        <v>16.37</v>
      </c>
      <c r="E132">
        <v>16.37</v>
      </c>
      <c r="F132">
        <v>16.25</v>
      </c>
      <c r="G132">
        <v>-0.73</v>
      </c>
      <c r="H132">
        <v>16.25</v>
      </c>
      <c r="I132">
        <v>16.420000000000002</v>
      </c>
      <c r="J132">
        <v>16.16</v>
      </c>
      <c r="K132" s="2">
        <v>21241136.170000002</v>
      </c>
      <c r="L132" s="3">
        <v>1305664</v>
      </c>
      <c r="M132" s="3">
        <v>1049</v>
      </c>
      <c r="N132" s="3">
        <v>18428</v>
      </c>
    </row>
    <row r="133" spans="1:14" x14ac:dyDescent="0.25">
      <c r="A133" s="4" t="str">
        <f t="shared" si="2"/>
        <v>تفاصيل إضافية للشركة</v>
      </c>
      <c r="B133" t="s">
        <v>146</v>
      </c>
      <c r="K133" s="2"/>
      <c r="L133" s="3"/>
      <c r="N133" s="3"/>
    </row>
    <row r="134" spans="1:14" x14ac:dyDescent="0.25">
      <c r="A134" s="4" t="str">
        <f t="shared" si="2"/>
        <v>السويدى اليكتريك</v>
      </c>
      <c r="B134" t="s">
        <v>421</v>
      </c>
      <c r="C134" t="s">
        <v>46</v>
      </c>
      <c r="D134">
        <v>86.4</v>
      </c>
      <c r="E134">
        <v>86.4</v>
      </c>
      <c r="F134">
        <v>86.13</v>
      </c>
      <c r="G134">
        <v>-0.31</v>
      </c>
      <c r="H134">
        <v>86.13</v>
      </c>
      <c r="I134">
        <v>87</v>
      </c>
      <c r="J134">
        <v>86.09</v>
      </c>
      <c r="K134" s="2">
        <v>5432740.0700000003</v>
      </c>
      <c r="L134" s="3">
        <v>62963</v>
      </c>
      <c r="M134" s="3">
        <v>497</v>
      </c>
      <c r="N134" s="3">
        <v>184385</v>
      </c>
    </row>
    <row r="135" spans="1:14" x14ac:dyDescent="0.25">
      <c r="A135" s="4" t="str">
        <f t="shared" si="2"/>
        <v>تفاصيل إضافية للشركة</v>
      </c>
      <c r="B135" t="s">
        <v>148</v>
      </c>
      <c r="K135" s="2"/>
      <c r="L135" s="3"/>
      <c r="N135" s="3"/>
    </row>
    <row r="136" spans="1:14" x14ac:dyDescent="0.25">
      <c r="A136" s="4" t="str">
        <f t="shared" si="2"/>
        <v>الشرقية - ايسترن كومباني</v>
      </c>
      <c r="B136" t="s">
        <v>421</v>
      </c>
      <c r="C136" t="s">
        <v>48</v>
      </c>
      <c r="D136">
        <v>39.9</v>
      </c>
      <c r="E136">
        <v>39.9</v>
      </c>
      <c r="F136">
        <v>39</v>
      </c>
      <c r="G136">
        <v>-2.2599999999999998</v>
      </c>
      <c r="H136">
        <v>39</v>
      </c>
      <c r="I136">
        <v>40.590000000000003</v>
      </c>
      <c r="J136">
        <v>38.9</v>
      </c>
      <c r="K136" s="2">
        <v>32398895.23</v>
      </c>
      <c r="L136" s="3">
        <v>811188</v>
      </c>
      <c r="M136" s="3">
        <v>642</v>
      </c>
      <c r="N136" s="3">
        <v>117000</v>
      </c>
    </row>
    <row r="137" spans="1:14" x14ac:dyDescent="0.25">
      <c r="A137" s="4" t="str">
        <f t="shared" si="2"/>
        <v>تفاصيل إضافية للشركة</v>
      </c>
      <c r="B137" t="s">
        <v>149</v>
      </c>
      <c r="K137" s="2"/>
      <c r="L137" s="3"/>
      <c r="N137" s="3"/>
    </row>
    <row r="138" spans="1:14" x14ac:dyDescent="0.25">
      <c r="A138" s="4" t="str">
        <f t="shared" si="2"/>
        <v>يونيفرسال لصناعة مواد التعبئة و التغليف و الورق - يونيباك</v>
      </c>
      <c r="B138" t="s">
        <v>421</v>
      </c>
      <c r="C138" t="s">
        <v>42</v>
      </c>
      <c r="D138">
        <v>0.32200000000000001</v>
      </c>
      <c r="E138">
        <v>0.32200000000000001</v>
      </c>
      <c r="F138">
        <v>0.33600000000000002</v>
      </c>
      <c r="G138">
        <v>4.3499999999999996</v>
      </c>
      <c r="H138">
        <v>0.33600000000000002</v>
      </c>
      <c r="I138">
        <v>0.34899999999999998</v>
      </c>
      <c r="J138">
        <v>0.33400000000000002</v>
      </c>
      <c r="K138" s="2">
        <v>79503494.099999994</v>
      </c>
      <c r="L138" s="3">
        <v>232793776</v>
      </c>
      <c r="M138" s="3">
        <v>2113</v>
      </c>
      <c r="N138" s="3">
        <v>770</v>
      </c>
    </row>
    <row r="139" spans="1:14" x14ac:dyDescent="0.25">
      <c r="A139" s="4" t="str">
        <f t="shared" si="2"/>
        <v>تفاصيل إضافية للشركة</v>
      </c>
      <c r="B139" t="s">
        <v>151</v>
      </c>
      <c r="K139" s="2"/>
      <c r="L139" s="3"/>
      <c r="N139" s="3"/>
    </row>
    <row r="140" spans="1:14" x14ac:dyDescent="0.25">
      <c r="A140" s="4" t="str">
        <f t="shared" si="2"/>
        <v>الصناعات الكيماوية المصرية - كيما</v>
      </c>
      <c r="B140" t="s">
        <v>421</v>
      </c>
      <c r="C140" t="s">
        <v>61</v>
      </c>
      <c r="D140">
        <v>13.2</v>
      </c>
      <c r="E140">
        <v>13.2</v>
      </c>
      <c r="F140">
        <v>13.75</v>
      </c>
      <c r="G140">
        <v>4.17</v>
      </c>
      <c r="H140">
        <v>13.75</v>
      </c>
      <c r="I140">
        <v>13.8</v>
      </c>
      <c r="J140">
        <v>13.23</v>
      </c>
      <c r="K140" s="2">
        <v>49680137.590000004</v>
      </c>
      <c r="L140" s="3">
        <v>3659089</v>
      </c>
      <c r="M140" s="3">
        <v>988</v>
      </c>
      <c r="N140" s="3">
        <v>27315</v>
      </c>
    </row>
    <row r="141" spans="1:14" x14ac:dyDescent="0.25">
      <c r="A141" s="4" t="str">
        <f t="shared" si="2"/>
        <v>تفاصيل إضافية للشركة</v>
      </c>
      <c r="B141" t="s">
        <v>82</v>
      </c>
      <c r="K141" s="2"/>
      <c r="L141" s="3"/>
      <c r="M141" s="3"/>
      <c r="N141" s="3"/>
    </row>
    <row r="142" spans="1:14" x14ac:dyDescent="0.25">
      <c r="A142" s="4" t="str">
        <f t="shared" si="2"/>
        <v>النيل للادوية والصناعات الكيماوية - النيل</v>
      </c>
      <c r="B142" t="s">
        <v>421</v>
      </c>
      <c r="C142" t="s">
        <v>51</v>
      </c>
      <c r="D142">
        <v>161.9</v>
      </c>
      <c r="E142">
        <v>161.9</v>
      </c>
      <c r="F142">
        <v>160.6</v>
      </c>
      <c r="G142">
        <v>-0.8</v>
      </c>
      <c r="H142">
        <v>160.6</v>
      </c>
      <c r="I142">
        <v>162.99</v>
      </c>
      <c r="J142">
        <v>160</v>
      </c>
      <c r="K142" s="2">
        <v>51026428.450000003</v>
      </c>
      <c r="L142" s="3">
        <v>316981</v>
      </c>
      <c r="M142" s="3">
        <v>805</v>
      </c>
      <c r="N142" s="3">
        <v>8030</v>
      </c>
    </row>
    <row r="143" spans="1:14" x14ac:dyDescent="0.25">
      <c r="A143" s="4" t="str">
        <f t="shared" si="2"/>
        <v>تفاصيل إضافية للشركة</v>
      </c>
      <c r="B143" t="s">
        <v>155</v>
      </c>
      <c r="K143" s="2"/>
      <c r="L143" s="3"/>
      <c r="N143" s="3"/>
    </row>
    <row r="144" spans="1:14" x14ac:dyDescent="0.25">
      <c r="A144" s="4" t="str">
        <f t="shared" si="2"/>
        <v>العربية للمحابس</v>
      </c>
      <c r="B144" t="s">
        <v>421</v>
      </c>
      <c r="C144" t="s">
        <v>93</v>
      </c>
      <c r="D144">
        <v>11.84</v>
      </c>
      <c r="E144">
        <v>11.84</v>
      </c>
      <c r="F144">
        <v>11.27</v>
      </c>
      <c r="G144">
        <v>-4.8099999999999996</v>
      </c>
      <c r="H144">
        <v>11.27</v>
      </c>
      <c r="I144">
        <v>12</v>
      </c>
      <c r="J144">
        <v>11.2</v>
      </c>
      <c r="K144" s="2">
        <v>43454692.490000002</v>
      </c>
      <c r="L144" s="3">
        <v>3801122</v>
      </c>
      <c r="M144" s="3">
        <v>1448</v>
      </c>
      <c r="N144" s="3">
        <v>845</v>
      </c>
    </row>
    <row r="145" spans="1:14" x14ac:dyDescent="0.25">
      <c r="A145" s="4" t="str">
        <f t="shared" si="2"/>
        <v>تفاصيل إضافية للشركة</v>
      </c>
      <c r="B145" t="s">
        <v>20</v>
      </c>
      <c r="K145" s="2"/>
      <c r="L145" s="3"/>
      <c r="M145" s="3"/>
      <c r="N145" s="3"/>
    </row>
    <row r="146" spans="1:14" x14ac:dyDescent="0.25">
      <c r="A146" s="4" t="str">
        <f t="shared" si="2"/>
        <v>سى اى كابيتال القابضة للاستثمارات المالية</v>
      </c>
      <c r="B146" t="s">
        <v>421</v>
      </c>
      <c r="C146" t="s">
        <v>44</v>
      </c>
      <c r="D146">
        <v>11.6</v>
      </c>
      <c r="E146">
        <v>11.6</v>
      </c>
      <c r="F146">
        <v>11.53</v>
      </c>
      <c r="G146">
        <v>-0.6</v>
      </c>
      <c r="H146">
        <v>11.53</v>
      </c>
      <c r="I146">
        <v>11.75</v>
      </c>
      <c r="J146">
        <v>11.45</v>
      </c>
      <c r="K146" s="2">
        <v>1558244.2</v>
      </c>
      <c r="L146" s="3">
        <v>134738</v>
      </c>
      <c r="M146" s="3">
        <v>101</v>
      </c>
      <c r="N146" s="3">
        <v>11530</v>
      </c>
    </row>
    <row r="147" spans="1:14" x14ac:dyDescent="0.25">
      <c r="A147" s="4" t="str">
        <f t="shared" si="2"/>
        <v>تفاصيل إضافية للشركة</v>
      </c>
      <c r="B147" t="s">
        <v>159</v>
      </c>
      <c r="K147" s="2"/>
      <c r="L147" s="3"/>
      <c r="N147" s="3"/>
    </row>
    <row r="148" spans="1:14" x14ac:dyDescent="0.25">
      <c r="A148" s="4" t="str">
        <f t="shared" si="2"/>
        <v>بلتون القابضة</v>
      </c>
      <c r="B148" t="s">
        <v>421</v>
      </c>
      <c r="C148" t="s">
        <v>44</v>
      </c>
      <c r="D148">
        <v>3.02</v>
      </c>
      <c r="E148">
        <v>3.02</v>
      </c>
      <c r="F148">
        <v>2.99</v>
      </c>
      <c r="G148">
        <v>-0.99</v>
      </c>
      <c r="H148">
        <v>2.99</v>
      </c>
      <c r="I148">
        <v>3.05</v>
      </c>
      <c r="J148">
        <v>2.99</v>
      </c>
      <c r="K148" s="2">
        <v>129468775.31999999</v>
      </c>
      <c r="L148" s="3">
        <v>42964820</v>
      </c>
      <c r="M148" s="3">
        <v>1574</v>
      </c>
      <c r="N148" s="3">
        <v>32047</v>
      </c>
    </row>
    <row r="149" spans="1:14" x14ac:dyDescent="0.25">
      <c r="A149" s="4" t="str">
        <f t="shared" si="2"/>
        <v>تفاصيل إضافية للشركة</v>
      </c>
      <c r="B149" t="s">
        <v>18</v>
      </c>
      <c r="K149" s="2"/>
      <c r="L149" s="3"/>
      <c r="M149" s="3"/>
      <c r="N149" s="3"/>
    </row>
    <row r="150" spans="1:14" x14ac:dyDescent="0.25">
      <c r="A150" s="4" t="str">
        <f t="shared" si="2"/>
        <v>العروبة للسمسرة فى الأوراق المالية</v>
      </c>
      <c r="B150" t="s">
        <v>421</v>
      </c>
      <c r="C150" t="s">
        <v>44</v>
      </c>
      <c r="D150">
        <v>1.48</v>
      </c>
      <c r="E150">
        <v>1.48</v>
      </c>
      <c r="F150">
        <v>1.48</v>
      </c>
      <c r="G150">
        <v>0</v>
      </c>
      <c r="H150">
        <v>1.49</v>
      </c>
      <c r="I150">
        <v>1.55</v>
      </c>
      <c r="J150">
        <v>1.42</v>
      </c>
      <c r="K150" s="2">
        <v>235027.47</v>
      </c>
      <c r="L150" s="3">
        <v>155136</v>
      </c>
      <c r="M150" s="3">
        <v>63</v>
      </c>
      <c r="N150" s="3">
        <v>44</v>
      </c>
    </row>
    <row r="151" spans="1:14" x14ac:dyDescent="0.25">
      <c r="A151" s="4" t="str">
        <f t="shared" si="2"/>
        <v>تفاصيل إضافية للشركة</v>
      </c>
      <c r="B151" t="s">
        <v>162</v>
      </c>
      <c r="K151" s="2"/>
      <c r="L151" s="3"/>
      <c r="M151" s="3"/>
      <c r="N151" s="3"/>
    </row>
    <row r="152" spans="1:14" x14ac:dyDescent="0.25">
      <c r="A152" s="4" t="str">
        <f t="shared" si="2"/>
        <v>دايس للملابس الجاهزة</v>
      </c>
      <c r="B152" t="s">
        <v>421</v>
      </c>
      <c r="C152" t="s">
        <v>88</v>
      </c>
      <c r="D152">
        <v>1.8</v>
      </c>
      <c r="E152">
        <v>1.8</v>
      </c>
      <c r="F152">
        <v>1.86</v>
      </c>
      <c r="G152">
        <v>3.33</v>
      </c>
      <c r="H152">
        <v>1.86</v>
      </c>
      <c r="I152">
        <v>1.86</v>
      </c>
      <c r="J152">
        <v>1.81</v>
      </c>
      <c r="K152" s="2">
        <v>64761540.079999998</v>
      </c>
      <c r="L152" s="3">
        <v>35152897</v>
      </c>
      <c r="M152" s="3">
        <v>1649</v>
      </c>
      <c r="N152" s="3">
        <v>4985</v>
      </c>
    </row>
    <row r="153" spans="1:14" x14ac:dyDescent="0.25">
      <c r="A153" s="4" t="str">
        <f t="shared" si="2"/>
        <v>تفاصيل إضافية للشركة</v>
      </c>
      <c r="B153" t="s">
        <v>165</v>
      </c>
      <c r="K153" s="2"/>
      <c r="L153" s="3"/>
      <c r="N153" s="3"/>
    </row>
    <row r="154" spans="1:14" x14ac:dyDescent="0.25">
      <c r="A154" s="4" t="str">
        <f t="shared" si="2"/>
        <v>اكتوبر فارما</v>
      </c>
      <c r="B154" t="s">
        <v>421</v>
      </c>
      <c r="C154" t="s">
        <v>51</v>
      </c>
      <c r="D154">
        <v>344.59</v>
      </c>
      <c r="E154">
        <v>344.59</v>
      </c>
      <c r="F154">
        <v>344</v>
      </c>
      <c r="G154">
        <v>-0.17</v>
      </c>
      <c r="H154">
        <v>344</v>
      </c>
      <c r="I154">
        <v>348.98</v>
      </c>
      <c r="J154">
        <v>342.7</v>
      </c>
      <c r="K154" s="2">
        <v>2273658.09</v>
      </c>
      <c r="L154" s="3">
        <v>6601</v>
      </c>
      <c r="M154" s="3">
        <v>129</v>
      </c>
      <c r="N154" s="3">
        <v>4128</v>
      </c>
    </row>
    <row r="155" spans="1:14" x14ac:dyDescent="0.25">
      <c r="A155" s="4" t="str">
        <f t="shared" si="2"/>
        <v>تفاصيل إضافية للشركة</v>
      </c>
      <c r="B155" t="s">
        <v>13</v>
      </c>
      <c r="K155" s="2"/>
      <c r="L155" s="3"/>
      <c r="N155" s="3"/>
    </row>
    <row r="156" spans="1:14" x14ac:dyDescent="0.25">
      <c r="A156" s="4" t="str">
        <f t="shared" si="2"/>
        <v>مطاحن شرق الدلتا</v>
      </c>
      <c r="B156" t="s">
        <v>421</v>
      </c>
      <c r="C156" t="s">
        <v>48</v>
      </c>
      <c r="D156">
        <v>334.03</v>
      </c>
      <c r="E156">
        <v>334.03</v>
      </c>
      <c r="F156">
        <v>331.68</v>
      </c>
      <c r="G156">
        <v>-0.7</v>
      </c>
      <c r="H156">
        <v>337.7</v>
      </c>
      <c r="I156">
        <v>342</v>
      </c>
      <c r="J156">
        <v>331</v>
      </c>
      <c r="K156" s="2">
        <v>1270632.8999999999</v>
      </c>
      <c r="L156" s="3">
        <v>3785</v>
      </c>
      <c r="M156" s="3">
        <v>95</v>
      </c>
      <c r="N156" s="3">
        <v>1990</v>
      </c>
    </row>
    <row r="157" spans="1:14" x14ac:dyDescent="0.25">
      <c r="A157" s="4" t="str">
        <f t="shared" si="2"/>
        <v>تفاصيل إضافية للشركة</v>
      </c>
      <c r="B157" t="s">
        <v>17</v>
      </c>
      <c r="K157" s="2"/>
      <c r="L157" s="3"/>
      <c r="M157" s="3"/>
      <c r="N157" s="3"/>
    </row>
    <row r="158" spans="1:14" x14ac:dyDescent="0.25">
      <c r="A158" s="4" t="str">
        <f t="shared" si="2"/>
        <v>العامة للصوامع والتخزين</v>
      </c>
      <c r="B158" t="s">
        <v>421</v>
      </c>
      <c r="C158" t="s">
        <v>48</v>
      </c>
      <c r="D158">
        <v>248.31</v>
      </c>
      <c r="E158">
        <v>248.31</v>
      </c>
      <c r="F158">
        <v>247.54</v>
      </c>
      <c r="G158">
        <v>-0.31</v>
      </c>
      <c r="H158">
        <v>246.6</v>
      </c>
      <c r="I158">
        <v>249</v>
      </c>
      <c r="J158">
        <v>246.1</v>
      </c>
      <c r="K158" s="2">
        <v>1499170.82</v>
      </c>
      <c r="L158" s="3">
        <v>6058</v>
      </c>
      <c r="M158" s="3">
        <v>88</v>
      </c>
      <c r="N158" s="3">
        <v>4332</v>
      </c>
    </row>
    <row r="159" spans="1:14" x14ac:dyDescent="0.25">
      <c r="A159" s="4" t="str">
        <f t="shared" si="2"/>
        <v>تفاصيل إضافية للشركة</v>
      </c>
      <c r="B159" t="s">
        <v>168</v>
      </c>
      <c r="K159" s="2"/>
      <c r="L159" s="3"/>
      <c r="M159" s="3"/>
      <c r="N159" s="3"/>
    </row>
    <row r="160" spans="1:14" x14ac:dyDescent="0.25">
      <c r="A160" s="4" t="str">
        <f t="shared" si="2"/>
        <v>مطاحن ومخابز جنوب القاهرة والجيزة</v>
      </c>
      <c r="B160" t="s">
        <v>421</v>
      </c>
      <c r="C160" t="s">
        <v>48</v>
      </c>
      <c r="D160">
        <v>253.42</v>
      </c>
      <c r="E160">
        <v>253.42</v>
      </c>
      <c r="F160">
        <v>252.04</v>
      </c>
      <c r="G160">
        <v>-0.54</v>
      </c>
      <c r="H160">
        <v>252.04</v>
      </c>
      <c r="I160">
        <v>258</v>
      </c>
      <c r="J160">
        <v>251.58</v>
      </c>
      <c r="K160" s="2">
        <v>2070150.27</v>
      </c>
      <c r="L160" s="3">
        <v>8165</v>
      </c>
      <c r="M160" s="3">
        <v>139</v>
      </c>
      <c r="N160" s="3">
        <v>1512</v>
      </c>
    </row>
    <row r="161" spans="1:14" x14ac:dyDescent="0.25">
      <c r="A161" s="4" t="str">
        <f t="shared" si="2"/>
        <v>تفاصيل إضافية للشركة</v>
      </c>
      <c r="B161" t="s">
        <v>169</v>
      </c>
      <c r="K161" s="2"/>
      <c r="L161" s="3"/>
      <c r="M161" s="3"/>
      <c r="N161" s="3"/>
    </row>
    <row r="162" spans="1:14" x14ac:dyDescent="0.25">
      <c r="A162" s="4" t="str">
        <f t="shared" si="2"/>
        <v>الاسكندرية للغزل والنسيج (سبينالكس)</v>
      </c>
      <c r="B162" t="s">
        <v>421</v>
      </c>
      <c r="C162" t="s">
        <v>88</v>
      </c>
      <c r="D162">
        <v>14.03</v>
      </c>
      <c r="E162">
        <v>14.03</v>
      </c>
      <c r="F162">
        <v>13.98</v>
      </c>
      <c r="G162">
        <v>-0.36</v>
      </c>
      <c r="H162">
        <v>14</v>
      </c>
      <c r="I162">
        <v>14.12</v>
      </c>
      <c r="J162">
        <v>13.3</v>
      </c>
      <c r="K162" s="2">
        <v>1392024.53</v>
      </c>
      <c r="L162" s="3">
        <v>100102</v>
      </c>
      <c r="M162" s="3">
        <v>64</v>
      </c>
      <c r="N162" s="3">
        <v>5043</v>
      </c>
    </row>
    <row r="163" spans="1:14" x14ac:dyDescent="0.25">
      <c r="A163" s="4" t="str">
        <f t="shared" si="2"/>
        <v>تفاصيل إضافية للشركة</v>
      </c>
      <c r="B163" t="s">
        <v>171</v>
      </c>
      <c r="K163" s="2"/>
      <c r="L163" s="3"/>
      <c r="M163" s="3"/>
      <c r="N163" s="3"/>
    </row>
    <row r="164" spans="1:14" x14ac:dyDescent="0.25">
      <c r="A164" s="4" t="str">
        <f t="shared" si="2"/>
        <v>النصر للملابس والمنسوجات - كابو</v>
      </c>
      <c r="B164" t="s">
        <v>421</v>
      </c>
      <c r="C164" t="s">
        <v>88</v>
      </c>
      <c r="D164">
        <v>6.24</v>
      </c>
      <c r="E164">
        <v>6.24</v>
      </c>
      <c r="F164">
        <v>6.23</v>
      </c>
      <c r="G164">
        <v>-0.16</v>
      </c>
      <c r="H164">
        <v>6.18</v>
      </c>
      <c r="I164">
        <v>6.24</v>
      </c>
      <c r="J164">
        <v>6.15</v>
      </c>
      <c r="K164" s="2">
        <v>6555882.9199999999</v>
      </c>
      <c r="L164" s="3">
        <v>1058692</v>
      </c>
      <c r="M164" s="3">
        <v>301</v>
      </c>
      <c r="N164" s="3">
        <v>3518</v>
      </c>
    </row>
    <row r="165" spans="1:14" x14ac:dyDescent="0.25">
      <c r="A165" s="4" t="str">
        <f t="shared" si="2"/>
        <v>تفاصيل إضافية للشركة</v>
      </c>
      <c r="B165" t="s">
        <v>173</v>
      </c>
      <c r="K165" s="2"/>
      <c r="L165" s="3"/>
      <c r="M165" s="3"/>
      <c r="N165" s="3"/>
    </row>
    <row r="166" spans="1:14" x14ac:dyDescent="0.25">
      <c r="A166" s="4" t="str">
        <f t="shared" si="2"/>
        <v>مينا للاستثمار السياحي والعقاري</v>
      </c>
      <c r="B166" t="s">
        <v>421</v>
      </c>
      <c r="C166" t="s">
        <v>40</v>
      </c>
      <c r="D166">
        <v>6.73</v>
      </c>
      <c r="E166">
        <v>6.73</v>
      </c>
      <c r="F166">
        <v>6.7</v>
      </c>
      <c r="G166">
        <v>-0.45</v>
      </c>
      <c r="H166">
        <v>6.7</v>
      </c>
      <c r="I166">
        <v>6.81</v>
      </c>
      <c r="J166">
        <v>6.66</v>
      </c>
      <c r="K166" s="2">
        <v>1884489.37</v>
      </c>
      <c r="L166" s="3">
        <v>279631</v>
      </c>
      <c r="M166" s="3">
        <v>128</v>
      </c>
      <c r="N166" s="3">
        <v>1621</v>
      </c>
    </row>
    <row r="167" spans="1:14" x14ac:dyDescent="0.25">
      <c r="A167" s="4" t="str">
        <f t="shared" si="2"/>
        <v>تفاصيل إضافية للشركة</v>
      </c>
      <c r="B167" t="s">
        <v>175</v>
      </c>
      <c r="K167" s="2"/>
      <c r="L167" s="3"/>
      <c r="M167" s="3"/>
      <c r="N167" s="3"/>
    </row>
    <row r="168" spans="1:14" x14ac:dyDescent="0.25">
      <c r="A168" s="4" t="str">
        <f t="shared" si="2"/>
        <v>كفر الزيات للمبيدات والكيماويات</v>
      </c>
      <c r="B168" t="s">
        <v>421</v>
      </c>
      <c r="C168" t="s">
        <v>61</v>
      </c>
      <c r="D168">
        <v>10.54</v>
      </c>
      <c r="E168">
        <v>10.54</v>
      </c>
      <c r="F168">
        <v>10.58</v>
      </c>
      <c r="G168">
        <v>0.38</v>
      </c>
      <c r="H168">
        <v>10.58</v>
      </c>
      <c r="I168">
        <v>10.63</v>
      </c>
      <c r="J168">
        <v>10.54</v>
      </c>
      <c r="K168" s="2">
        <v>1805195.62</v>
      </c>
      <c r="L168" s="3">
        <v>170599</v>
      </c>
      <c r="M168" s="3">
        <v>166</v>
      </c>
      <c r="N168" s="3">
        <v>2540</v>
      </c>
    </row>
    <row r="169" spans="1:14" x14ac:dyDescent="0.25">
      <c r="A169" s="4" t="str">
        <f t="shared" si="2"/>
        <v>تفاصيل إضافية للشركة</v>
      </c>
      <c r="B169" t="s">
        <v>177</v>
      </c>
      <c r="K169" s="2"/>
      <c r="L169" s="3"/>
      <c r="M169" s="3"/>
      <c r="N169" s="3"/>
    </row>
    <row r="170" spans="1:14" x14ac:dyDescent="0.25">
      <c r="A170" s="4" t="str">
        <f t="shared" si="2"/>
        <v>الشمس للاسكان والتعمير</v>
      </c>
      <c r="B170" t="s">
        <v>421</v>
      </c>
      <c r="C170" t="s">
        <v>40</v>
      </c>
      <c r="D170">
        <v>12.96</v>
      </c>
      <c r="E170">
        <v>12.96</v>
      </c>
      <c r="F170">
        <v>13.66</v>
      </c>
      <c r="G170">
        <v>5.4</v>
      </c>
      <c r="H170">
        <v>13.66</v>
      </c>
      <c r="I170">
        <v>13.99</v>
      </c>
      <c r="J170">
        <v>12.85</v>
      </c>
      <c r="K170" s="2">
        <v>249037077.16</v>
      </c>
      <c r="L170" s="3">
        <v>18277477</v>
      </c>
      <c r="M170" s="3">
        <v>3726</v>
      </c>
      <c r="N170" s="3">
        <v>3099</v>
      </c>
    </row>
    <row r="171" spans="1:14" x14ac:dyDescent="0.25">
      <c r="A171" s="4" t="str">
        <f t="shared" si="2"/>
        <v>تفاصيل إضافية للشركة</v>
      </c>
      <c r="B171" t="s">
        <v>99</v>
      </c>
      <c r="K171" s="2"/>
      <c r="L171" s="3"/>
      <c r="M171" s="3"/>
      <c r="N171" s="3"/>
    </row>
    <row r="172" spans="1:14" x14ac:dyDescent="0.25">
      <c r="A172" s="4" t="str">
        <f t="shared" si="2"/>
        <v>إعمار مصر للتنمية</v>
      </c>
      <c r="B172" t="s">
        <v>421</v>
      </c>
      <c r="C172" t="s">
        <v>40</v>
      </c>
      <c r="D172">
        <v>12.34</v>
      </c>
      <c r="E172">
        <v>12.34</v>
      </c>
      <c r="F172">
        <v>12.5</v>
      </c>
      <c r="G172">
        <v>1.3</v>
      </c>
      <c r="H172">
        <v>12.5</v>
      </c>
      <c r="I172">
        <v>12.5</v>
      </c>
      <c r="J172">
        <v>12.2</v>
      </c>
      <c r="K172" s="2">
        <v>306361464.36000001</v>
      </c>
      <c r="L172" s="3">
        <v>24725593</v>
      </c>
      <c r="M172" s="3">
        <v>1911</v>
      </c>
      <c r="N172" s="3">
        <v>68087</v>
      </c>
    </row>
    <row r="173" spans="1:14" x14ac:dyDescent="0.25">
      <c r="A173" s="4" t="str">
        <f t="shared" si="2"/>
        <v>تفاصيل إضافية للشركة</v>
      </c>
      <c r="B173" t="s">
        <v>212</v>
      </c>
      <c r="K173" s="2"/>
      <c r="L173" s="3"/>
      <c r="M173" s="3"/>
      <c r="N173" s="3"/>
    </row>
    <row r="174" spans="1:14" x14ac:dyDescent="0.25">
      <c r="A174" s="4" t="str">
        <f t="shared" si="2"/>
        <v>الوادى العالمية للاستثمار و التنمية</v>
      </c>
      <c r="B174" t="s">
        <v>421</v>
      </c>
      <c r="C174" t="s">
        <v>67</v>
      </c>
      <c r="D174">
        <v>2.1</v>
      </c>
      <c r="E174">
        <v>2.1</v>
      </c>
      <c r="F174">
        <v>2.0299999999999998</v>
      </c>
      <c r="G174">
        <v>-3.33</v>
      </c>
      <c r="H174">
        <v>2.02</v>
      </c>
      <c r="I174">
        <v>2.15</v>
      </c>
      <c r="J174">
        <v>2.02</v>
      </c>
      <c r="K174" s="2">
        <v>1581159.65</v>
      </c>
      <c r="L174" s="3">
        <v>767980</v>
      </c>
      <c r="M174" s="3">
        <v>36</v>
      </c>
      <c r="N174" s="3">
        <v>369</v>
      </c>
    </row>
    <row r="175" spans="1:14" x14ac:dyDescent="0.25">
      <c r="A175" s="4" t="str">
        <f t="shared" si="2"/>
        <v>تفاصيل إضافية للشركة</v>
      </c>
      <c r="B175" t="s">
        <v>115</v>
      </c>
      <c r="K175" s="2"/>
      <c r="L175" s="3"/>
      <c r="N175" s="3"/>
    </row>
    <row r="176" spans="1:14" x14ac:dyDescent="0.25">
      <c r="A176" s="4" t="str">
        <f t="shared" si="2"/>
        <v>الاسماعيلية مصر للدواجن</v>
      </c>
      <c r="B176" t="s">
        <v>421</v>
      </c>
      <c r="C176" t="s">
        <v>48</v>
      </c>
      <c r="D176">
        <v>30.38</v>
      </c>
      <c r="E176">
        <v>30.38</v>
      </c>
      <c r="F176">
        <v>30.15</v>
      </c>
      <c r="G176">
        <v>-0.76</v>
      </c>
      <c r="H176">
        <v>30.15</v>
      </c>
      <c r="I176">
        <v>36.450000000000003</v>
      </c>
      <c r="J176">
        <v>29.19</v>
      </c>
      <c r="K176" s="2">
        <v>146305565.83000001</v>
      </c>
      <c r="L176" s="3">
        <v>4733274</v>
      </c>
      <c r="M176" s="3">
        <v>2519</v>
      </c>
      <c r="N176" s="3">
        <v>2709</v>
      </c>
    </row>
    <row r="177" spans="1:14" x14ac:dyDescent="0.25">
      <c r="A177" s="4" t="str">
        <f t="shared" si="2"/>
        <v>تفاصيل إضافية للشركة</v>
      </c>
      <c r="B177" t="s">
        <v>130</v>
      </c>
      <c r="K177" s="2"/>
      <c r="L177" s="3"/>
      <c r="N177" s="3"/>
    </row>
    <row r="178" spans="1:14" x14ac:dyDescent="0.25">
      <c r="A178" s="4" t="str">
        <f t="shared" si="2"/>
        <v>المالية و الصناعية المصرية</v>
      </c>
      <c r="B178" t="s">
        <v>421</v>
      </c>
      <c r="C178" t="s">
        <v>61</v>
      </c>
      <c r="D178">
        <v>205.05</v>
      </c>
      <c r="E178">
        <v>205.05</v>
      </c>
      <c r="F178">
        <v>204.02</v>
      </c>
      <c r="G178">
        <v>-0.5</v>
      </c>
      <c r="H178">
        <v>205</v>
      </c>
      <c r="I178">
        <v>205.75</v>
      </c>
      <c r="J178">
        <v>203</v>
      </c>
      <c r="K178" s="2">
        <v>1346042.75</v>
      </c>
      <c r="L178" s="3">
        <v>6582</v>
      </c>
      <c r="M178" s="3">
        <v>85</v>
      </c>
      <c r="N178" s="3">
        <v>20402</v>
      </c>
    </row>
    <row r="179" spans="1:14" x14ac:dyDescent="0.25">
      <c r="A179" s="4" t="str">
        <f t="shared" si="2"/>
        <v>تفاصيل إضافية للشركة</v>
      </c>
      <c r="B179" t="s">
        <v>121</v>
      </c>
      <c r="K179" s="2"/>
      <c r="L179" s="3"/>
      <c r="M179" s="3"/>
      <c r="N179" s="3"/>
    </row>
    <row r="180" spans="1:14" x14ac:dyDescent="0.25">
      <c r="A180" s="4" t="str">
        <f t="shared" si="2"/>
        <v>روبكس العالميه لتصنيع البلاستيك والاكريلك</v>
      </c>
      <c r="B180" t="s">
        <v>421</v>
      </c>
      <c r="C180" t="s">
        <v>93</v>
      </c>
      <c r="D180">
        <v>9.86</v>
      </c>
      <c r="E180">
        <v>9.86</v>
      </c>
      <c r="F180">
        <v>9.9600000000000009</v>
      </c>
      <c r="G180">
        <v>1.01</v>
      </c>
      <c r="H180">
        <v>9.9600000000000009</v>
      </c>
      <c r="I180">
        <v>10.199999999999999</v>
      </c>
      <c r="J180">
        <v>9.8000000000000007</v>
      </c>
      <c r="K180" s="2">
        <v>6278242.7800000003</v>
      </c>
      <c r="L180" s="3">
        <v>626090</v>
      </c>
      <c r="M180" s="3">
        <v>360</v>
      </c>
      <c r="N180" s="3">
        <v>613</v>
      </c>
    </row>
    <row r="181" spans="1:14" x14ac:dyDescent="0.25">
      <c r="A181" s="4" t="str">
        <f t="shared" si="2"/>
        <v>تفاصيل إضافية للشركة</v>
      </c>
      <c r="B181" t="s">
        <v>92</v>
      </c>
      <c r="K181" s="2"/>
      <c r="L181" s="3"/>
      <c r="M181" s="3"/>
      <c r="N181" s="3"/>
    </row>
    <row r="182" spans="1:14" x14ac:dyDescent="0.25">
      <c r="A182" s="4" t="str">
        <f t="shared" si="2"/>
        <v>العامة لمنتجات الخزف والصيني</v>
      </c>
      <c r="B182" t="s">
        <v>421</v>
      </c>
      <c r="C182" t="s">
        <v>93</v>
      </c>
      <c r="D182">
        <v>24.5</v>
      </c>
      <c r="E182">
        <v>24.5</v>
      </c>
      <c r="F182">
        <v>24.5</v>
      </c>
      <c r="G182">
        <v>0</v>
      </c>
      <c r="H182">
        <v>24.5</v>
      </c>
      <c r="I182">
        <v>25.48</v>
      </c>
      <c r="J182">
        <v>24.5</v>
      </c>
      <c r="K182" s="2">
        <v>23020427.140000001</v>
      </c>
      <c r="L182" s="3">
        <v>923298</v>
      </c>
      <c r="M182" s="3">
        <v>505</v>
      </c>
      <c r="N182" s="3">
        <v>1234</v>
      </c>
    </row>
    <row r="183" spans="1:14" x14ac:dyDescent="0.25">
      <c r="A183" s="4" t="str">
        <f t="shared" si="2"/>
        <v>تفاصيل إضافية للشركة</v>
      </c>
      <c r="B183" t="s">
        <v>178</v>
      </c>
      <c r="K183" s="2"/>
      <c r="L183" s="3"/>
      <c r="M183" s="3"/>
      <c r="N183" s="3"/>
    </row>
    <row r="184" spans="1:14" x14ac:dyDescent="0.25">
      <c r="A184" s="4" t="str">
        <f t="shared" si="2"/>
        <v>العز للسيراميك و البورسلين - الجوهره</v>
      </c>
      <c r="B184" t="s">
        <v>421</v>
      </c>
      <c r="C184" t="s">
        <v>93</v>
      </c>
      <c r="D184">
        <v>31.77</v>
      </c>
      <c r="E184">
        <v>31.77</v>
      </c>
      <c r="F184">
        <v>32.56</v>
      </c>
      <c r="G184">
        <v>2.4900000000000002</v>
      </c>
      <c r="H184">
        <v>32.56</v>
      </c>
      <c r="I184">
        <v>32.619999999999997</v>
      </c>
      <c r="J184">
        <v>31.3</v>
      </c>
      <c r="K184" s="2">
        <v>8863962.1300000008</v>
      </c>
      <c r="L184" s="3">
        <v>274400</v>
      </c>
      <c r="M184" s="3">
        <v>297</v>
      </c>
      <c r="N184" s="3">
        <v>1737</v>
      </c>
    </row>
    <row r="185" spans="1:14" x14ac:dyDescent="0.25">
      <c r="A185" s="4" t="str">
        <f t="shared" si="2"/>
        <v>تفاصيل إضافية للشركة</v>
      </c>
      <c r="B185" t="s">
        <v>179</v>
      </c>
      <c r="K185" s="2"/>
      <c r="L185" s="3"/>
      <c r="M185" s="3"/>
      <c r="N185" s="3"/>
    </row>
    <row r="186" spans="1:14" x14ac:dyDescent="0.25">
      <c r="A186" s="4" t="str">
        <f t="shared" si="2"/>
        <v>العربية للخزف - سيراميكا ريماس</v>
      </c>
      <c r="B186" t="s">
        <v>421</v>
      </c>
      <c r="C186" t="s">
        <v>93</v>
      </c>
      <c r="D186">
        <v>1.18</v>
      </c>
      <c r="E186">
        <v>1.18</v>
      </c>
      <c r="F186">
        <v>1.29</v>
      </c>
      <c r="G186">
        <v>9.32</v>
      </c>
      <c r="H186">
        <v>1.29</v>
      </c>
      <c r="I186">
        <v>1.3</v>
      </c>
      <c r="J186">
        <v>1.17</v>
      </c>
      <c r="K186" s="2">
        <v>79653620.079999998</v>
      </c>
      <c r="L186" s="3">
        <v>63324912</v>
      </c>
      <c r="M186" s="3">
        <v>1523</v>
      </c>
      <c r="N186" s="3">
        <v>1391</v>
      </c>
    </row>
    <row r="187" spans="1:14" x14ac:dyDescent="0.25">
      <c r="A187" s="4" t="str">
        <f t="shared" si="2"/>
        <v>تفاصيل إضافية للشركة</v>
      </c>
      <c r="B187" t="s">
        <v>180</v>
      </c>
      <c r="K187" s="2"/>
      <c r="L187" s="3"/>
      <c r="N187" s="3"/>
    </row>
    <row r="188" spans="1:14" x14ac:dyDescent="0.25">
      <c r="A188" s="4" t="str">
        <f t="shared" si="2"/>
        <v>مصر للاسمنت - قنا</v>
      </c>
      <c r="B188" t="s">
        <v>421</v>
      </c>
      <c r="C188" t="s">
        <v>93</v>
      </c>
      <c r="D188">
        <v>178.81</v>
      </c>
      <c r="E188">
        <v>178.81</v>
      </c>
      <c r="F188">
        <v>176.75</v>
      </c>
      <c r="G188">
        <v>-1.1499999999999999</v>
      </c>
      <c r="H188">
        <v>176.75</v>
      </c>
      <c r="I188">
        <v>180.5</v>
      </c>
      <c r="J188">
        <v>176.4</v>
      </c>
      <c r="K188" s="2">
        <v>6128939.8300000001</v>
      </c>
      <c r="L188" s="3">
        <v>34484</v>
      </c>
      <c r="M188" s="3">
        <v>486</v>
      </c>
      <c r="N188" s="3">
        <v>16968</v>
      </c>
    </row>
    <row r="189" spans="1:14" x14ac:dyDescent="0.25">
      <c r="A189" s="4" t="str">
        <f t="shared" si="2"/>
        <v>تفاصيل إضافية للشركة</v>
      </c>
      <c r="B189" t="s">
        <v>95</v>
      </c>
      <c r="K189" s="2"/>
      <c r="L189" s="3"/>
      <c r="M189" s="3"/>
      <c r="N189" s="3"/>
    </row>
    <row r="190" spans="1:14" x14ac:dyDescent="0.25">
      <c r="A190" s="4" t="str">
        <f t="shared" si="2"/>
        <v>مصر بنى سويف للاسمنت</v>
      </c>
      <c r="B190" t="s">
        <v>421</v>
      </c>
      <c r="C190" t="s">
        <v>93</v>
      </c>
      <c r="D190">
        <v>271.52</v>
      </c>
      <c r="E190">
        <v>271.52</v>
      </c>
      <c r="F190">
        <v>251.92</v>
      </c>
      <c r="G190">
        <v>-7.22</v>
      </c>
      <c r="H190">
        <v>251.92</v>
      </c>
      <c r="I190">
        <v>254.99</v>
      </c>
      <c r="J190">
        <v>251.57</v>
      </c>
      <c r="K190" s="2">
        <v>35958353.030000001</v>
      </c>
      <c r="L190" s="3">
        <v>142152</v>
      </c>
      <c r="M190" s="3">
        <v>1507</v>
      </c>
      <c r="N190" s="3">
        <v>13861</v>
      </c>
    </row>
    <row r="191" spans="1:14" x14ac:dyDescent="0.25">
      <c r="A191" s="4" t="str">
        <f t="shared" si="2"/>
        <v>تفاصيل إضافية للشركة</v>
      </c>
      <c r="B191" t="s">
        <v>181</v>
      </c>
      <c r="K191" s="2"/>
      <c r="L191" s="3"/>
      <c r="M191" s="3"/>
      <c r="N191" s="3"/>
    </row>
    <row r="192" spans="1:14" x14ac:dyDescent="0.25">
      <c r="A192" s="4" t="str">
        <f t="shared" si="2"/>
        <v>اجواء للصناعات الغذائية - مصر</v>
      </c>
      <c r="B192" t="s">
        <v>421</v>
      </c>
      <c r="C192" t="s">
        <v>48</v>
      </c>
      <c r="D192">
        <v>170.69</v>
      </c>
      <c r="E192">
        <v>170.69</v>
      </c>
      <c r="F192">
        <v>182</v>
      </c>
      <c r="G192">
        <v>6.63</v>
      </c>
      <c r="H192">
        <v>182</v>
      </c>
      <c r="I192">
        <v>188.5</v>
      </c>
      <c r="J192">
        <v>172.98</v>
      </c>
      <c r="K192" s="2">
        <v>59275171.039999999</v>
      </c>
      <c r="L192" s="3">
        <v>326899</v>
      </c>
      <c r="M192" s="3">
        <v>1335</v>
      </c>
      <c r="N192" s="3">
        <v>3657</v>
      </c>
    </row>
    <row r="193" spans="1:14" x14ac:dyDescent="0.25">
      <c r="A193" s="4" t="str">
        <f t="shared" si="2"/>
        <v>تفاصيل إضافية للشركة</v>
      </c>
      <c r="B193" t="s">
        <v>96</v>
      </c>
      <c r="K193" s="2"/>
      <c r="L193" s="3"/>
      <c r="M193" s="3"/>
      <c r="N193" s="3"/>
    </row>
    <row r="194" spans="1:14" x14ac:dyDescent="0.25">
      <c r="A194" s="4" t="str">
        <f t="shared" ref="A194:A257" si="3">B195</f>
        <v>الشرقية الوطنية للامن الغذائي</v>
      </c>
      <c r="B194" t="s">
        <v>421</v>
      </c>
      <c r="C194" t="s">
        <v>48</v>
      </c>
      <c r="D194">
        <v>12.39</v>
      </c>
      <c r="E194">
        <v>12.39</v>
      </c>
      <c r="F194">
        <v>12.36</v>
      </c>
      <c r="G194">
        <v>-0.24</v>
      </c>
      <c r="H194">
        <v>12.37</v>
      </c>
      <c r="I194">
        <v>12.39</v>
      </c>
      <c r="J194">
        <v>12.19</v>
      </c>
      <c r="K194" s="2">
        <v>5251659.49</v>
      </c>
      <c r="L194" s="3">
        <v>428142</v>
      </c>
      <c r="M194" s="3">
        <v>164</v>
      </c>
      <c r="N194" s="3">
        <v>2026</v>
      </c>
    </row>
    <row r="195" spans="1:14" x14ac:dyDescent="0.25">
      <c r="A195" s="4" t="str">
        <f t="shared" si="3"/>
        <v>تفاصيل إضافية للشركة</v>
      </c>
      <c r="B195" t="s">
        <v>183</v>
      </c>
      <c r="K195" s="2"/>
      <c r="L195" s="3"/>
      <c r="M195" s="3"/>
      <c r="N195" s="3"/>
    </row>
    <row r="196" spans="1:14" x14ac:dyDescent="0.25">
      <c r="A196" s="4" t="str">
        <f t="shared" si="3"/>
        <v>البنك المصري لتنمية الصادرات</v>
      </c>
      <c r="B196" t="s">
        <v>421</v>
      </c>
      <c r="C196" t="s">
        <v>49</v>
      </c>
      <c r="D196">
        <v>18.64</v>
      </c>
      <c r="E196">
        <v>18.64</v>
      </c>
      <c r="F196">
        <v>18.66</v>
      </c>
      <c r="G196">
        <v>0.11</v>
      </c>
      <c r="H196">
        <v>18.66</v>
      </c>
      <c r="I196">
        <v>18.72</v>
      </c>
      <c r="J196">
        <v>18.54</v>
      </c>
      <c r="K196" s="2">
        <v>27287542.129999999</v>
      </c>
      <c r="L196" s="3">
        <v>1467220</v>
      </c>
      <c r="M196" s="3">
        <v>337</v>
      </c>
      <c r="N196" s="3">
        <v>25378</v>
      </c>
    </row>
    <row r="197" spans="1:14" x14ac:dyDescent="0.25">
      <c r="A197" s="4" t="str">
        <f t="shared" si="3"/>
        <v>تفاصيل إضافية للشركة</v>
      </c>
      <c r="B197" t="s">
        <v>97</v>
      </c>
      <c r="K197" s="2"/>
      <c r="L197" s="3"/>
      <c r="M197" s="3"/>
      <c r="N197" s="3"/>
    </row>
    <row r="198" spans="1:14" x14ac:dyDescent="0.25">
      <c r="A198" s="4" t="str">
        <f t="shared" si="3"/>
        <v>الاستثمار العقاري العربي - اليكو</v>
      </c>
      <c r="B198" t="s">
        <v>421</v>
      </c>
      <c r="C198" t="s">
        <v>40</v>
      </c>
      <c r="D198">
        <v>3.5</v>
      </c>
      <c r="E198">
        <v>3.5</v>
      </c>
      <c r="F198">
        <v>3.65</v>
      </c>
      <c r="G198">
        <v>4.29</v>
      </c>
      <c r="H198">
        <v>3.65</v>
      </c>
      <c r="I198">
        <v>3.67</v>
      </c>
      <c r="J198">
        <v>3.52</v>
      </c>
      <c r="K198" s="2">
        <v>40623262.670000002</v>
      </c>
      <c r="L198" s="3">
        <v>11241504</v>
      </c>
      <c r="M198" s="3">
        <v>927</v>
      </c>
      <c r="N198" s="3">
        <v>899</v>
      </c>
    </row>
    <row r="199" spans="1:14" x14ac:dyDescent="0.25">
      <c r="A199" s="4" t="str">
        <f t="shared" si="3"/>
        <v>تفاصيل إضافية للشركة</v>
      </c>
      <c r="B199" t="s">
        <v>185</v>
      </c>
      <c r="K199" s="2"/>
      <c r="L199" s="3"/>
      <c r="M199" s="3"/>
      <c r="N199" s="3"/>
    </row>
    <row r="200" spans="1:14" x14ac:dyDescent="0.25">
      <c r="A200" s="4" t="str">
        <f t="shared" si="3"/>
        <v>المهندس للتأمين</v>
      </c>
      <c r="B200" t="s">
        <v>421</v>
      </c>
      <c r="C200" t="s">
        <v>44</v>
      </c>
      <c r="D200">
        <v>24.88</v>
      </c>
      <c r="E200">
        <v>24.88</v>
      </c>
      <c r="F200">
        <v>24.34</v>
      </c>
      <c r="G200">
        <v>-2.17</v>
      </c>
      <c r="H200">
        <v>24.31</v>
      </c>
      <c r="I200">
        <v>24.97</v>
      </c>
      <c r="J200">
        <v>24.3</v>
      </c>
      <c r="K200" s="2">
        <v>1450905.57</v>
      </c>
      <c r="L200" s="3">
        <v>59497</v>
      </c>
      <c r="M200" s="3">
        <v>60</v>
      </c>
      <c r="N200" s="3">
        <v>6328</v>
      </c>
    </row>
    <row r="201" spans="1:14" x14ac:dyDescent="0.25">
      <c r="A201" s="4" t="str">
        <f t="shared" si="3"/>
        <v>تفاصيل إضافية للشركة</v>
      </c>
      <c r="B201" t="s">
        <v>26</v>
      </c>
      <c r="K201" s="2"/>
      <c r="L201" s="3"/>
      <c r="M201" s="3"/>
      <c r="N201" s="3"/>
    </row>
    <row r="202" spans="1:14" x14ac:dyDescent="0.25">
      <c r="A202" s="4" t="str">
        <f t="shared" si="3"/>
        <v>الاهلي للتنمية والاستثمار</v>
      </c>
      <c r="B202" t="s">
        <v>421</v>
      </c>
      <c r="C202" t="s">
        <v>44</v>
      </c>
      <c r="D202">
        <v>42.97</v>
      </c>
      <c r="E202">
        <v>42.97</v>
      </c>
      <c r="F202">
        <v>42.8</v>
      </c>
      <c r="G202">
        <v>-0.4</v>
      </c>
      <c r="H202">
        <v>42.8</v>
      </c>
      <c r="I202">
        <v>43.4</v>
      </c>
      <c r="J202">
        <v>42.01</v>
      </c>
      <c r="K202" s="2">
        <v>5577093.29</v>
      </c>
      <c r="L202" s="3">
        <v>130834</v>
      </c>
      <c r="M202" s="3">
        <v>158</v>
      </c>
      <c r="N202" s="3">
        <v>770</v>
      </c>
    </row>
    <row r="203" spans="1:14" x14ac:dyDescent="0.25">
      <c r="A203" s="4" t="str">
        <f t="shared" si="3"/>
        <v>تفاصيل إضافية للشركة</v>
      </c>
      <c r="B203" t="s">
        <v>186</v>
      </c>
      <c r="K203" s="2"/>
      <c r="L203" s="3"/>
      <c r="M203" s="3"/>
      <c r="N203" s="3"/>
    </row>
    <row r="204" spans="1:14" x14ac:dyDescent="0.25">
      <c r="A204" s="4" t="str">
        <f t="shared" si="3"/>
        <v>مجموعة اي اف جي القابضة</v>
      </c>
      <c r="B204" t="s">
        <v>421</v>
      </c>
      <c r="C204" t="s">
        <v>44</v>
      </c>
      <c r="D204">
        <v>27.03</v>
      </c>
      <c r="E204">
        <v>27.03</v>
      </c>
      <c r="F204">
        <v>27.9</v>
      </c>
      <c r="G204">
        <v>3.22</v>
      </c>
      <c r="H204">
        <v>27.9</v>
      </c>
      <c r="I204">
        <v>27.9</v>
      </c>
      <c r="J204">
        <v>27.1</v>
      </c>
      <c r="K204" s="2">
        <v>439748394.10000002</v>
      </c>
      <c r="L204" s="3">
        <v>15970540</v>
      </c>
      <c r="M204" s="3">
        <v>3161</v>
      </c>
      <c r="N204" s="3">
        <v>40061</v>
      </c>
    </row>
    <row r="205" spans="1:14" x14ac:dyDescent="0.25">
      <c r="A205" s="4" t="str">
        <f t="shared" si="3"/>
        <v>تفاصيل إضافية للشركة</v>
      </c>
      <c r="B205" t="s">
        <v>98</v>
      </c>
      <c r="K205" s="2"/>
      <c r="L205" s="3"/>
      <c r="M205" s="3"/>
      <c r="N205" s="3"/>
    </row>
    <row r="206" spans="1:14" x14ac:dyDescent="0.25">
      <c r="A206" s="4" t="str">
        <f t="shared" si="3"/>
        <v>الوطنية للاسكان للنقابات المهنية</v>
      </c>
      <c r="B206" t="s">
        <v>421</v>
      </c>
      <c r="C206" t="s">
        <v>40</v>
      </c>
      <c r="D206">
        <v>67.72</v>
      </c>
      <c r="E206">
        <v>67.72</v>
      </c>
      <c r="F206">
        <v>68.069999999999993</v>
      </c>
      <c r="G206">
        <v>0.52</v>
      </c>
      <c r="H206">
        <v>68.069999999999993</v>
      </c>
      <c r="I206">
        <v>69</v>
      </c>
      <c r="J206">
        <v>68</v>
      </c>
      <c r="K206" s="2">
        <v>2959701.55</v>
      </c>
      <c r="L206" s="3">
        <v>43310</v>
      </c>
      <c r="M206" s="3">
        <v>167</v>
      </c>
      <c r="N206" s="3">
        <v>1089</v>
      </c>
    </row>
    <row r="207" spans="1:14" x14ac:dyDescent="0.25">
      <c r="A207" s="4" t="str">
        <f t="shared" si="3"/>
        <v>تفاصيل إضافية للشركة</v>
      </c>
      <c r="B207" t="s">
        <v>188</v>
      </c>
      <c r="K207" s="2"/>
      <c r="L207" s="3"/>
      <c r="M207" s="3"/>
      <c r="N207" s="3"/>
    </row>
    <row r="208" spans="1:14" x14ac:dyDescent="0.25">
      <c r="A208" s="4" t="str">
        <f t="shared" si="3"/>
        <v>القاهرة للاسكان والتعمير</v>
      </c>
      <c r="B208" t="s">
        <v>421</v>
      </c>
      <c r="C208" t="s">
        <v>40</v>
      </c>
      <c r="D208">
        <v>1.27</v>
      </c>
      <c r="E208">
        <v>1.27</v>
      </c>
      <c r="F208">
        <v>1.32</v>
      </c>
      <c r="G208">
        <v>3.94</v>
      </c>
      <c r="H208">
        <v>1.32</v>
      </c>
      <c r="I208">
        <v>1.32</v>
      </c>
      <c r="J208">
        <v>1.26</v>
      </c>
      <c r="K208" s="2">
        <v>57681698.649999999</v>
      </c>
      <c r="L208" s="3">
        <v>44426700</v>
      </c>
      <c r="M208" s="3">
        <v>1338</v>
      </c>
      <c r="N208" s="3">
        <v>2451</v>
      </c>
    </row>
    <row r="209" spans="1:14" x14ac:dyDescent="0.25">
      <c r="A209" s="4" t="str">
        <f t="shared" si="3"/>
        <v>تفاصيل إضافية للشركة</v>
      </c>
      <c r="B209" t="s">
        <v>190</v>
      </c>
      <c r="K209" s="2"/>
      <c r="L209" s="3"/>
      <c r="M209" s="3"/>
      <c r="N209" s="3"/>
    </row>
    <row r="210" spans="1:14" x14ac:dyDescent="0.25">
      <c r="A210" s="4" t="str">
        <f t="shared" si="3"/>
        <v>المتحدة للاسكان والتعمير</v>
      </c>
      <c r="B210" t="s">
        <v>421</v>
      </c>
      <c r="C210" t="s">
        <v>40</v>
      </c>
      <c r="D210">
        <v>13.48</v>
      </c>
      <c r="E210">
        <v>13.48</v>
      </c>
      <c r="F210">
        <v>13.64</v>
      </c>
      <c r="G210">
        <v>1.19</v>
      </c>
      <c r="H210">
        <v>13.77</v>
      </c>
      <c r="I210">
        <v>13.86</v>
      </c>
      <c r="J210">
        <v>13.3</v>
      </c>
      <c r="K210" s="2">
        <v>2527978.21</v>
      </c>
      <c r="L210" s="3">
        <v>185208</v>
      </c>
      <c r="M210" s="3">
        <v>153</v>
      </c>
      <c r="N210" s="3">
        <v>3211</v>
      </c>
    </row>
    <row r="211" spans="1:14" x14ac:dyDescent="0.25">
      <c r="A211" s="4" t="str">
        <f t="shared" si="3"/>
        <v>تفاصيل إضافية للشركة</v>
      </c>
      <c r="B211" t="s">
        <v>191</v>
      </c>
      <c r="K211" s="2"/>
      <c r="L211" s="3"/>
      <c r="M211" s="3"/>
      <c r="N211" s="3"/>
    </row>
    <row r="212" spans="1:14" x14ac:dyDescent="0.25">
      <c r="A212" s="4" t="str">
        <f t="shared" si="3"/>
        <v>رواد السياحة - الرواد</v>
      </c>
      <c r="B212" t="s">
        <v>421</v>
      </c>
      <c r="C212" t="s">
        <v>67</v>
      </c>
      <c r="D212">
        <v>34.47</v>
      </c>
      <c r="E212">
        <v>34.47</v>
      </c>
      <c r="F212">
        <v>35.54</v>
      </c>
      <c r="G212">
        <v>3.1</v>
      </c>
      <c r="H212">
        <v>35.54</v>
      </c>
      <c r="I212">
        <v>35.85</v>
      </c>
      <c r="J212">
        <v>34.5</v>
      </c>
      <c r="K212" s="2">
        <v>15441989.23</v>
      </c>
      <c r="L212" s="3">
        <v>439651</v>
      </c>
      <c r="M212" s="3">
        <v>486</v>
      </c>
      <c r="N212" s="3">
        <v>615</v>
      </c>
    </row>
    <row r="213" spans="1:14" x14ac:dyDescent="0.25">
      <c r="A213" s="4" t="str">
        <f t="shared" si="3"/>
        <v>تفاصيل إضافية للشركة</v>
      </c>
      <c r="B213" t="s">
        <v>192</v>
      </c>
      <c r="K213" s="2"/>
      <c r="L213" s="3"/>
      <c r="M213" s="3"/>
      <c r="N213" s="3"/>
    </row>
    <row r="214" spans="1:14" x14ac:dyDescent="0.25">
      <c r="A214" s="4" t="str">
        <f t="shared" si="3"/>
        <v>بيراميزا للفنادق والقرى السياحية - بيراميزا</v>
      </c>
      <c r="B214" t="s">
        <v>421</v>
      </c>
      <c r="C214" t="s">
        <v>67</v>
      </c>
      <c r="D214">
        <v>219.99</v>
      </c>
      <c r="E214">
        <v>219.99</v>
      </c>
      <c r="F214">
        <v>221.5</v>
      </c>
      <c r="G214">
        <v>0.69</v>
      </c>
      <c r="H214">
        <v>221.5</v>
      </c>
      <c r="I214">
        <v>224.99</v>
      </c>
      <c r="J214">
        <v>219</v>
      </c>
      <c r="K214" s="2">
        <v>23022256.73</v>
      </c>
      <c r="L214" s="3">
        <v>103998</v>
      </c>
      <c r="M214" s="3">
        <v>505</v>
      </c>
      <c r="N214" s="3">
        <v>5615</v>
      </c>
    </row>
    <row r="215" spans="1:14" x14ac:dyDescent="0.25">
      <c r="A215" s="4" t="str">
        <f t="shared" si="3"/>
        <v>تفاصيل إضافية للشركة</v>
      </c>
      <c r="B215" t="s">
        <v>193</v>
      </c>
      <c r="K215" s="2"/>
      <c r="L215" s="3"/>
      <c r="M215" s="3"/>
      <c r="N215" s="3"/>
    </row>
    <row r="216" spans="1:14" x14ac:dyDescent="0.25">
      <c r="A216" s="4" t="str">
        <f t="shared" si="3"/>
        <v>المصرية للمنتجعات السياحية</v>
      </c>
      <c r="B216" t="s">
        <v>421</v>
      </c>
      <c r="C216" t="s">
        <v>67</v>
      </c>
      <c r="D216">
        <v>17.8</v>
      </c>
      <c r="E216">
        <v>17.8</v>
      </c>
      <c r="F216">
        <v>17.71</v>
      </c>
      <c r="G216">
        <v>-0.51</v>
      </c>
      <c r="H216">
        <v>17.71</v>
      </c>
      <c r="I216">
        <v>18.14</v>
      </c>
      <c r="J216">
        <v>17.5</v>
      </c>
      <c r="K216" s="2">
        <v>53657752.25</v>
      </c>
      <c r="L216" s="3">
        <v>3012260</v>
      </c>
      <c r="M216" s="3">
        <v>643</v>
      </c>
      <c r="N216" s="3">
        <v>18596</v>
      </c>
    </row>
    <row r="217" spans="1:14" x14ac:dyDescent="0.25">
      <c r="A217" s="4" t="str">
        <f t="shared" si="3"/>
        <v>تفاصيل إضافية للشركة</v>
      </c>
      <c r="B217" t="s">
        <v>194</v>
      </c>
      <c r="K217" s="2"/>
      <c r="L217" s="3"/>
      <c r="M217" s="3"/>
      <c r="N217" s="3"/>
    </row>
    <row r="218" spans="1:14" x14ac:dyDescent="0.25">
      <c r="A218" s="4" t="str">
        <f t="shared" si="3"/>
        <v>مستشفى النزهه الدولي</v>
      </c>
      <c r="B218" t="s">
        <v>421</v>
      </c>
      <c r="C218" t="s">
        <v>51</v>
      </c>
      <c r="D218">
        <v>17.36</v>
      </c>
      <c r="E218">
        <v>17.36</v>
      </c>
      <c r="F218">
        <v>17.690000000000001</v>
      </c>
      <c r="G218">
        <v>1.9</v>
      </c>
      <c r="H218">
        <v>17.41</v>
      </c>
      <c r="I218">
        <v>17.850000000000001</v>
      </c>
      <c r="J218">
        <v>17.03</v>
      </c>
      <c r="K218" s="2">
        <v>1816454.27</v>
      </c>
      <c r="L218" s="3">
        <v>104564</v>
      </c>
      <c r="M218" s="3">
        <v>189</v>
      </c>
      <c r="N218" s="3">
        <v>5307</v>
      </c>
    </row>
    <row r="219" spans="1:14" x14ac:dyDescent="0.25">
      <c r="A219" s="4" t="str">
        <f t="shared" si="3"/>
        <v>تفاصيل إضافية للشركة</v>
      </c>
      <c r="B219" t="s">
        <v>3</v>
      </c>
      <c r="K219" s="2"/>
      <c r="L219" s="3"/>
      <c r="M219" s="3"/>
      <c r="N219" s="3"/>
    </row>
    <row r="220" spans="1:14" x14ac:dyDescent="0.25">
      <c r="A220" s="4" t="str">
        <f t="shared" si="3"/>
        <v>الغربية الاسلامية للتنمية العمرانية</v>
      </c>
      <c r="B220" t="s">
        <v>421</v>
      </c>
      <c r="C220" t="s">
        <v>40</v>
      </c>
      <c r="D220">
        <v>41.35</v>
      </c>
      <c r="E220">
        <v>41.35</v>
      </c>
      <c r="F220">
        <v>41.4</v>
      </c>
      <c r="G220">
        <v>0.12</v>
      </c>
      <c r="H220">
        <v>41.2</v>
      </c>
      <c r="I220">
        <v>42.49</v>
      </c>
      <c r="J220">
        <v>41.13</v>
      </c>
      <c r="K220" s="2">
        <v>2120084.39</v>
      </c>
      <c r="L220" s="3">
        <v>50622</v>
      </c>
      <c r="M220" s="3">
        <v>98</v>
      </c>
      <c r="N220" s="3">
        <v>233</v>
      </c>
    </row>
    <row r="221" spans="1:14" x14ac:dyDescent="0.25">
      <c r="A221" s="4" t="str">
        <f t="shared" si="3"/>
        <v>تفاصيل إضافية للشركة</v>
      </c>
      <c r="B221" t="s">
        <v>102</v>
      </c>
      <c r="K221" s="2"/>
      <c r="L221" s="3"/>
      <c r="M221" s="3"/>
      <c r="N221" s="3"/>
    </row>
    <row r="222" spans="1:14" x14ac:dyDescent="0.25">
      <c r="A222" s="4" t="str">
        <f t="shared" si="3"/>
        <v>مصر الجديدة للاسكان والتعمير</v>
      </c>
      <c r="B222" t="s">
        <v>421</v>
      </c>
      <c r="C222" t="s">
        <v>40</v>
      </c>
      <c r="D222" s="2">
        <v>6.43</v>
      </c>
      <c r="E222" s="2">
        <v>6.43</v>
      </c>
      <c r="F222" s="2">
        <v>6.4</v>
      </c>
      <c r="G222">
        <v>-0.47</v>
      </c>
      <c r="H222" s="2">
        <v>6.4</v>
      </c>
      <c r="I222" s="2">
        <v>6.5</v>
      </c>
      <c r="J222" s="2">
        <v>6.34</v>
      </c>
      <c r="K222" s="2">
        <v>124200221.98</v>
      </c>
      <c r="L222" s="3">
        <v>19368737</v>
      </c>
      <c r="M222" s="3">
        <v>1651</v>
      </c>
      <c r="N222" s="3">
        <v>25634</v>
      </c>
    </row>
    <row r="223" spans="1:14" x14ac:dyDescent="0.25">
      <c r="A223" s="4" t="str">
        <f t="shared" si="3"/>
        <v>تفاصيل إضافية للشركة</v>
      </c>
      <c r="B223" t="s">
        <v>196</v>
      </c>
      <c r="K223" s="2"/>
      <c r="L223" s="3"/>
      <c r="M223" s="3"/>
      <c r="N223" s="3"/>
    </row>
    <row r="224" spans="1:14" x14ac:dyDescent="0.25">
      <c r="A224" s="4" t="str">
        <f t="shared" si="3"/>
        <v>العبور للاستثمار العقارى</v>
      </c>
      <c r="B224" t="s">
        <v>421</v>
      </c>
      <c r="C224" t="s">
        <v>40</v>
      </c>
      <c r="D224">
        <v>36.799999999999997</v>
      </c>
      <c r="E224">
        <v>36.799999999999997</v>
      </c>
      <c r="F224">
        <v>36.119999999999997</v>
      </c>
      <c r="G224">
        <v>-1.85</v>
      </c>
      <c r="H224">
        <v>36.119999999999997</v>
      </c>
      <c r="I224">
        <v>36.99</v>
      </c>
      <c r="J224">
        <v>36.07</v>
      </c>
      <c r="K224" s="2">
        <v>8703589.1500000004</v>
      </c>
      <c r="L224" s="3">
        <v>239542</v>
      </c>
      <c r="M224" s="3">
        <v>419</v>
      </c>
      <c r="N224" s="3">
        <v>1445</v>
      </c>
    </row>
    <row r="225" spans="1:14" x14ac:dyDescent="0.25">
      <c r="A225" s="4" t="str">
        <f t="shared" si="3"/>
        <v>تفاصيل إضافية للشركة</v>
      </c>
      <c r="B225" t="s">
        <v>197</v>
      </c>
      <c r="K225" s="2"/>
      <c r="L225" s="3"/>
      <c r="M225" s="3"/>
      <c r="N225" s="3"/>
    </row>
    <row r="226" spans="1:14" x14ac:dyDescent="0.25">
      <c r="A226" s="4" t="str">
        <f t="shared" si="3"/>
        <v>القاهره للإستثمار و التنمية العقاريه سيرا للتعليم</v>
      </c>
      <c r="B226" t="s">
        <v>421</v>
      </c>
      <c r="C226" t="s">
        <v>77</v>
      </c>
      <c r="D226">
        <v>26.81</v>
      </c>
      <c r="E226">
        <v>26.81</v>
      </c>
      <c r="F226">
        <v>26.3</v>
      </c>
      <c r="G226">
        <v>-1.9</v>
      </c>
      <c r="H226">
        <v>26.3</v>
      </c>
      <c r="I226">
        <v>27.2</v>
      </c>
      <c r="J226">
        <v>26</v>
      </c>
      <c r="K226" s="2">
        <v>6069629.7000000002</v>
      </c>
      <c r="L226" s="3">
        <v>230623</v>
      </c>
      <c r="M226" s="3">
        <v>136</v>
      </c>
      <c r="N226" s="3">
        <v>15327</v>
      </c>
    </row>
    <row r="227" spans="1:14" x14ac:dyDescent="0.25">
      <c r="A227" s="4" t="str">
        <f t="shared" si="3"/>
        <v>تفاصيل إضافية للشركة</v>
      </c>
      <c r="B227" t="s">
        <v>198</v>
      </c>
      <c r="K227" s="2"/>
      <c r="L227" s="3"/>
      <c r="M227" s="3"/>
      <c r="N227" s="3"/>
    </row>
    <row r="228" spans="1:14" x14ac:dyDescent="0.25">
      <c r="A228" s="4" t="str">
        <f t="shared" si="3"/>
        <v>السادس من اكتوبر للتنميه والاستثمار- سوديك</v>
      </c>
      <c r="B228" t="s">
        <v>421</v>
      </c>
      <c r="C228" t="s">
        <v>40</v>
      </c>
      <c r="D228">
        <v>20.65</v>
      </c>
      <c r="E228">
        <v>20.65</v>
      </c>
      <c r="F228">
        <v>20.71</v>
      </c>
      <c r="G228">
        <v>0.28999999999999998</v>
      </c>
      <c r="H228">
        <v>20.71</v>
      </c>
      <c r="I228">
        <v>20.89</v>
      </c>
      <c r="J228">
        <v>20.66</v>
      </c>
      <c r="K228" s="2">
        <v>14683068.640000001</v>
      </c>
      <c r="L228" s="3">
        <v>706790</v>
      </c>
      <c r="M228" s="3">
        <v>685</v>
      </c>
      <c r="N228" s="3">
        <v>26701</v>
      </c>
    </row>
    <row r="229" spans="1:14" x14ac:dyDescent="0.25">
      <c r="A229" s="4" t="str">
        <f t="shared" si="3"/>
        <v>تفاصيل إضافية للشركة</v>
      </c>
      <c r="B229" t="s">
        <v>104</v>
      </c>
      <c r="K229" s="2"/>
      <c r="L229" s="3"/>
      <c r="M229" s="3"/>
      <c r="N229" s="3"/>
    </row>
    <row r="230" spans="1:14" x14ac:dyDescent="0.25">
      <c r="A230" s="4" t="str">
        <f t="shared" si="3"/>
        <v>السعودية المصرية للاستثمار والتمويل</v>
      </c>
      <c r="B230" t="s">
        <v>421</v>
      </c>
      <c r="C230" t="s">
        <v>44</v>
      </c>
      <c r="D230">
        <v>181.31</v>
      </c>
      <c r="E230">
        <v>181.31</v>
      </c>
      <c r="F230">
        <v>183.39</v>
      </c>
      <c r="G230">
        <v>1.1499999999999999</v>
      </c>
      <c r="H230">
        <v>183.39</v>
      </c>
      <c r="I230">
        <v>184.7</v>
      </c>
      <c r="J230">
        <v>181.35</v>
      </c>
      <c r="K230" s="2">
        <v>1580838.8</v>
      </c>
      <c r="L230" s="3">
        <v>8640</v>
      </c>
      <c r="M230" s="3">
        <v>83</v>
      </c>
      <c r="N230" s="3">
        <v>458</v>
      </c>
    </row>
    <row r="231" spans="1:14" x14ac:dyDescent="0.25">
      <c r="A231" s="4" t="str">
        <f t="shared" si="3"/>
        <v>تفاصيل إضافية للشركة</v>
      </c>
      <c r="B231" t="s">
        <v>199</v>
      </c>
      <c r="K231" s="2"/>
      <c r="L231" s="3"/>
      <c r="M231" s="3"/>
      <c r="N231" s="3"/>
    </row>
    <row r="232" spans="1:14" x14ac:dyDescent="0.25">
      <c r="A232" s="4" t="str">
        <f t="shared" si="3"/>
        <v>الملتقي العربي للاستثمارات</v>
      </c>
      <c r="B232" t="s">
        <v>421</v>
      </c>
      <c r="C232" t="s">
        <v>44</v>
      </c>
      <c r="D232">
        <v>9.23</v>
      </c>
      <c r="E232">
        <v>9.23</v>
      </c>
      <c r="F232">
        <v>9.15</v>
      </c>
      <c r="G232">
        <v>-0.87</v>
      </c>
      <c r="H232">
        <v>9.15</v>
      </c>
      <c r="I232">
        <v>9.5</v>
      </c>
      <c r="J232">
        <v>9.15</v>
      </c>
      <c r="K232" s="2">
        <v>11365119.390000001</v>
      </c>
      <c r="L232" s="3">
        <v>1228302</v>
      </c>
      <c r="M232" s="3">
        <v>276</v>
      </c>
      <c r="N232" s="3">
        <v>4672</v>
      </c>
    </row>
    <row r="233" spans="1:14" x14ac:dyDescent="0.25">
      <c r="A233" s="4" t="str">
        <f t="shared" si="3"/>
        <v>تفاصيل إضافية للشركة</v>
      </c>
      <c r="B233" t="s">
        <v>200</v>
      </c>
      <c r="K233" s="2"/>
      <c r="L233" s="3"/>
      <c r="M233" s="3"/>
      <c r="N233" s="3"/>
    </row>
    <row r="234" spans="1:14" x14ac:dyDescent="0.25">
      <c r="A234" s="4" t="str">
        <f t="shared" si="3"/>
        <v>العالمية للاستثمار والتنمية</v>
      </c>
      <c r="B234" t="s">
        <v>421</v>
      </c>
      <c r="C234" t="s">
        <v>40</v>
      </c>
      <c r="D234">
        <v>7</v>
      </c>
      <c r="E234">
        <v>7</v>
      </c>
      <c r="F234">
        <v>7.17</v>
      </c>
      <c r="G234">
        <v>2.4300000000000002</v>
      </c>
      <c r="H234">
        <v>7.17</v>
      </c>
      <c r="I234">
        <v>7.17</v>
      </c>
      <c r="J234">
        <v>6.91</v>
      </c>
      <c r="K234" s="2">
        <v>5093558.93</v>
      </c>
      <c r="L234" s="3">
        <v>720959</v>
      </c>
      <c r="M234" s="3">
        <v>175</v>
      </c>
      <c r="N234" s="3">
        <v>717</v>
      </c>
    </row>
    <row r="235" spans="1:14" x14ac:dyDescent="0.25">
      <c r="A235" s="4" t="str">
        <f t="shared" si="3"/>
        <v>تفاصيل إضافية للشركة</v>
      </c>
      <c r="B235" t="s">
        <v>56</v>
      </c>
      <c r="K235" s="2"/>
      <c r="L235" s="3"/>
      <c r="M235" s="3"/>
      <c r="N235" s="3"/>
    </row>
    <row r="236" spans="1:14" x14ac:dyDescent="0.25">
      <c r="A236" s="4" t="str">
        <f t="shared" si="3"/>
        <v>تايكون انفستمنتس هولدنج</v>
      </c>
      <c r="B236" t="s">
        <v>421</v>
      </c>
      <c r="C236" t="s">
        <v>44</v>
      </c>
      <c r="D236">
        <v>28.75</v>
      </c>
      <c r="E236">
        <v>28.75</v>
      </c>
      <c r="F236">
        <v>34.5</v>
      </c>
      <c r="G236">
        <v>20</v>
      </c>
      <c r="H236">
        <v>34.5</v>
      </c>
      <c r="I236">
        <v>34.5</v>
      </c>
      <c r="J236">
        <v>29.8</v>
      </c>
      <c r="K236" s="2">
        <v>264392682.31999999</v>
      </c>
      <c r="L236" s="3">
        <v>7939208</v>
      </c>
      <c r="M236" s="3">
        <v>8651</v>
      </c>
      <c r="N236" s="3">
        <v>1803</v>
      </c>
    </row>
    <row r="237" spans="1:14" x14ac:dyDescent="0.25">
      <c r="A237" s="4" t="str">
        <f t="shared" si="3"/>
        <v>تفاصيل إضافية للشركة</v>
      </c>
      <c r="B237" t="s">
        <v>1148</v>
      </c>
      <c r="K237" s="2"/>
      <c r="L237" s="3"/>
      <c r="M237" s="3"/>
      <c r="N237" s="3"/>
    </row>
    <row r="238" spans="1:14" x14ac:dyDescent="0.25">
      <c r="A238" s="4" t="str">
        <f t="shared" si="3"/>
        <v>اصول E.S.B. للوساطة في الاوراق المالية</v>
      </c>
      <c r="B238" t="s">
        <v>421</v>
      </c>
      <c r="C238" t="s">
        <v>44</v>
      </c>
      <c r="D238">
        <v>1.89</v>
      </c>
      <c r="E238">
        <v>1.89</v>
      </c>
      <c r="F238">
        <v>1.9</v>
      </c>
      <c r="G238">
        <v>0.53</v>
      </c>
      <c r="H238">
        <v>1.9</v>
      </c>
      <c r="I238">
        <v>1.96</v>
      </c>
      <c r="J238">
        <v>1.83</v>
      </c>
      <c r="K238" s="2">
        <v>1955043.72</v>
      </c>
      <c r="L238" s="3">
        <v>1029276</v>
      </c>
      <c r="M238" s="3">
        <v>179</v>
      </c>
      <c r="N238" s="3">
        <v>993</v>
      </c>
    </row>
    <row r="239" spans="1:14" x14ac:dyDescent="0.25">
      <c r="A239" s="4" t="str">
        <f t="shared" si="3"/>
        <v>تفاصيل إضافية للشركة</v>
      </c>
      <c r="B239" t="s">
        <v>105</v>
      </c>
      <c r="K239" s="2"/>
      <c r="L239" s="3"/>
      <c r="N239" s="3"/>
    </row>
    <row r="240" spans="1:14" x14ac:dyDescent="0.25">
      <c r="A240" s="4" t="str">
        <f t="shared" si="3"/>
        <v>الالومنيوم العربية</v>
      </c>
      <c r="B240" t="s">
        <v>421</v>
      </c>
      <c r="C240" t="s">
        <v>61</v>
      </c>
      <c r="D240">
        <v>23.55</v>
      </c>
      <c r="E240">
        <v>23.55</v>
      </c>
      <c r="F240">
        <v>23.08</v>
      </c>
      <c r="G240">
        <v>-2</v>
      </c>
      <c r="H240">
        <v>23.08</v>
      </c>
      <c r="I240">
        <v>23.9</v>
      </c>
      <c r="J240">
        <v>23.02</v>
      </c>
      <c r="K240" s="2">
        <v>5703352.1699999999</v>
      </c>
      <c r="L240" s="3">
        <v>245149</v>
      </c>
      <c r="M240" s="3">
        <v>417</v>
      </c>
      <c r="N240" s="3">
        <v>978</v>
      </c>
    </row>
    <row r="241" spans="1:14" x14ac:dyDescent="0.25">
      <c r="A241" s="4" t="str">
        <f t="shared" si="3"/>
        <v>تفاصيل إضافية للشركة</v>
      </c>
      <c r="B241" t="s">
        <v>12</v>
      </c>
      <c r="K241" s="2"/>
      <c r="L241" s="3"/>
      <c r="M241" s="3"/>
      <c r="N241" s="3"/>
    </row>
    <row r="242" spans="1:14" x14ac:dyDescent="0.25">
      <c r="A242" s="4" t="str">
        <f t="shared" si="3"/>
        <v>الصناعات الغذائية العربية-دومتى</v>
      </c>
      <c r="B242" t="s">
        <v>421</v>
      </c>
      <c r="C242" t="s">
        <v>48</v>
      </c>
      <c r="D242">
        <v>24.35</v>
      </c>
      <c r="E242">
        <v>24.35</v>
      </c>
      <c r="F242">
        <v>24.47</v>
      </c>
      <c r="G242">
        <v>0.49</v>
      </c>
      <c r="H242">
        <v>24.47</v>
      </c>
      <c r="I242">
        <v>24.5</v>
      </c>
      <c r="J242">
        <v>24.26</v>
      </c>
      <c r="K242" s="2">
        <v>643355.74</v>
      </c>
      <c r="L242" s="3">
        <v>26332</v>
      </c>
      <c r="M242" s="3">
        <v>63</v>
      </c>
      <c r="N242" s="3">
        <v>6915</v>
      </c>
    </row>
    <row r="243" spans="1:14" x14ac:dyDescent="0.25">
      <c r="A243" s="4" t="str">
        <f t="shared" si="3"/>
        <v>تفاصيل إضافية للشركة</v>
      </c>
      <c r="B243" t="s">
        <v>203</v>
      </c>
      <c r="K243" s="2"/>
      <c r="L243" s="3"/>
      <c r="M243" s="3"/>
      <c r="N243" s="3"/>
    </row>
    <row r="244" spans="1:14" x14ac:dyDescent="0.25">
      <c r="A244" s="4" t="str">
        <f t="shared" si="3"/>
        <v>العربية لمنتجات الألبان" آراب ديرى - باندا"</v>
      </c>
      <c r="B244" t="s">
        <v>421</v>
      </c>
      <c r="C244" t="s">
        <v>48</v>
      </c>
      <c r="D244">
        <v>3.55</v>
      </c>
      <c r="E244">
        <v>3.55</v>
      </c>
      <c r="F244">
        <v>3.6</v>
      </c>
      <c r="G244">
        <v>1.41</v>
      </c>
      <c r="H244">
        <v>3.6</v>
      </c>
      <c r="I244">
        <v>3.68</v>
      </c>
      <c r="J244">
        <v>3.53</v>
      </c>
      <c r="K244" s="2">
        <v>11051232.66</v>
      </c>
      <c r="L244" s="3">
        <v>3068644</v>
      </c>
      <c r="M244" s="3">
        <v>341</v>
      </c>
      <c r="N244" s="3">
        <v>1800</v>
      </c>
    </row>
    <row r="245" spans="1:14" x14ac:dyDescent="0.25">
      <c r="A245" s="4" t="str">
        <f t="shared" si="3"/>
        <v>تفاصيل إضافية للشركة</v>
      </c>
      <c r="B245" t="s">
        <v>106</v>
      </c>
      <c r="K245" s="2"/>
      <c r="L245" s="3"/>
      <c r="M245" s="3"/>
      <c r="N245" s="3"/>
    </row>
    <row r="246" spans="1:14" x14ac:dyDescent="0.25">
      <c r="A246" s="4" t="str">
        <f t="shared" si="3"/>
        <v>القاهرة للخدمات التعليمية</v>
      </c>
      <c r="B246" t="s">
        <v>421</v>
      </c>
      <c r="C246" t="s">
        <v>77</v>
      </c>
      <c r="D246">
        <v>71.040000000000006</v>
      </c>
      <c r="E246">
        <v>71.040000000000006</v>
      </c>
      <c r="F246">
        <v>70.8</v>
      </c>
      <c r="G246">
        <v>-0.34</v>
      </c>
      <c r="H246">
        <v>70.02</v>
      </c>
      <c r="I246">
        <v>71.8</v>
      </c>
      <c r="J246">
        <v>69.92</v>
      </c>
      <c r="K246" s="2">
        <v>1246551.6299999999</v>
      </c>
      <c r="L246" s="3">
        <v>17673</v>
      </c>
      <c r="M246" s="3">
        <v>103</v>
      </c>
      <c r="N246" s="3">
        <v>850</v>
      </c>
    </row>
    <row r="247" spans="1:14" x14ac:dyDescent="0.25">
      <c r="A247" s="4" t="str">
        <f t="shared" si="3"/>
        <v>تفاصيل إضافية للشركة</v>
      </c>
      <c r="B247" t="s">
        <v>205</v>
      </c>
      <c r="K247" s="2"/>
      <c r="L247" s="3"/>
      <c r="M247" s="3"/>
      <c r="N247" s="3"/>
    </row>
    <row r="248" spans="1:14" x14ac:dyDescent="0.25">
      <c r="A248" s="4" t="str">
        <f t="shared" si="3"/>
        <v>المصريه لمدينة الانتاج الاعلامى</v>
      </c>
      <c r="B248" t="s">
        <v>421</v>
      </c>
      <c r="C248" t="s">
        <v>59</v>
      </c>
      <c r="D248">
        <v>32</v>
      </c>
      <c r="E248">
        <v>32</v>
      </c>
      <c r="F248">
        <v>32.26</v>
      </c>
      <c r="G248">
        <v>0.81</v>
      </c>
      <c r="H248">
        <v>32.26</v>
      </c>
      <c r="I248">
        <v>32.5</v>
      </c>
      <c r="J248">
        <v>31.72</v>
      </c>
      <c r="K248" s="2">
        <v>13081690.550000001</v>
      </c>
      <c r="L248" s="3">
        <v>406937</v>
      </c>
      <c r="M248" s="3">
        <v>230</v>
      </c>
      <c r="N248" s="3">
        <v>6117</v>
      </c>
    </row>
    <row r="249" spans="1:14" x14ac:dyDescent="0.25">
      <c r="A249" s="4" t="str">
        <f t="shared" si="3"/>
        <v>تفاصيل إضافية للشركة</v>
      </c>
      <c r="B249" t="s">
        <v>107</v>
      </c>
      <c r="K249" s="2"/>
      <c r="L249" s="3"/>
      <c r="N249" s="3"/>
    </row>
    <row r="250" spans="1:14" x14ac:dyDescent="0.25">
      <c r="A250" s="4" t="str">
        <f t="shared" si="3"/>
        <v>شمال الصعيد للتنمية والانتاج الزراعى (نيوداب)</v>
      </c>
      <c r="B250" t="s">
        <v>421</v>
      </c>
      <c r="C250" t="s">
        <v>48</v>
      </c>
      <c r="D250">
        <v>2.75</v>
      </c>
      <c r="E250">
        <v>2.75</v>
      </c>
      <c r="F250">
        <v>2.81</v>
      </c>
      <c r="G250">
        <v>2.1800000000000002</v>
      </c>
      <c r="H250">
        <v>2.81</v>
      </c>
      <c r="I250">
        <v>2.82</v>
      </c>
      <c r="J250">
        <v>2.78</v>
      </c>
      <c r="K250" s="2">
        <v>379562.51</v>
      </c>
      <c r="L250" s="3">
        <v>135160</v>
      </c>
      <c r="M250" s="3">
        <v>41</v>
      </c>
      <c r="N250" s="3">
        <v>178</v>
      </c>
    </row>
    <row r="251" spans="1:14" x14ac:dyDescent="0.25">
      <c r="A251" s="4" t="str">
        <f t="shared" si="3"/>
        <v>تفاصيل إضافية للشركة</v>
      </c>
      <c r="B251" t="s">
        <v>206</v>
      </c>
      <c r="K251" s="2"/>
      <c r="L251" s="3"/>
      <c r="M251" s="3"/>
      <c r="N251" s="3"/>
    </row>
    <row r="252" spans="1:14" x14ac:dyDescent="0.25">
      <c r="A252" s="4" t="str">
        <f t="shared" si="3"/>
        <v>مصر للاسواق الحرة</v>
      </c>
      <c r="B252" t="s">
        <v>421</v>
      </c>
      <c r="C252" t="s">
        <v>54</v>
      </c>
      <c r="D252">
        <v>45.52</v>
      </c>
      <c r="E252">
        <v>45.52</v>
      </c>
      <c r="F252">
        <v>44.58</v>
      </c>
      <c r="G252">
        <v>-2.0699999999999998</v>
      </c>
      <c r="H252">
        <v>44.58</v>
      </c>
      <c r="I252">
        <v>46.3</v>
      </c>
      <c r="J252">
        <v>44</v>
      </c>
      <c r="K252" s="2">
        <v>2136019.1</v>
      </c>
      <c r="L252" s="3">
        <v>47843</v>
      </c>
      <c r="M252" s="3">
        <v>172</v>
      </c>
      <c r="N252" s="3">
        <v>4179</v>
      </c>
    </row>
    <row r="253" spans="1:14" x14ac:dyDescent="0.25">
      <c r="A253" s="4" t="str">
        <f t="shared" si="3"/>
        <v>تفاصيل إضافية للشركة</v>
      </c>
      <c r="B253" t="s">
        <v>27</v>
      </c>
      <c r="K253" s="2"/>
      <c r="L253" s="3"/>
      <c r="M253" s="3"/>
      <c r="N253" s="3"/>
    </row>
    <row r="254" spans="1:14" x14ac:dyDescent="0.25">
      <c r="A254" s="4" t="str">
        <f t="shared" si="3"/>
        <v>بنك قطر الوطني</v>
      </c>
      <c r="B254" t="s">
        <v>421</v>
      </c>
      <c r="C254" t="s">
        <v>49</v>
      </c>
      <c r="D254">
        <v>53.51</v>
      </c>
      <c r="E254">
        <v>53.51</v>
      </c>
      <c r="F254">
        <v>53.29</v>
      </c>
      <c r="G254">
        <v>-0.41</v>
      </c>
      <c r="H254">
        <v>53.25</v>
      </c>
      <c r="I254">
        <v>54</v>
      </c>
      <c r="J254">
        <v>53.01</v>
      </c>
      <c r="K254" s="2">
        <v>3916224.16</v>
      </c>
      <c r="L254" s="3">
        <v>73068</v>
      </c>
      <c r="M254" s="3">
        <v>167</v>
      </c>
      <c r="N254" s="3">
        <v>114831</v>
      </c>
    </row>
    <row r="255" spans="1:14" x14ac:dyDescent="0.25">
      <c r="A255" s="4" t="str">
        <f t="shared" si="3"/>
        <v>تفاصيل إضافية للشركة</v>
      </c>
      <c r="B255" t="s">
        <v>25</v>
      </c>
      <c r="K255" s="2"/>
      <c r="L255" s="3"/>
      <c r="M255" s="3"/>
      <c r="N255" s="3"/>
    </row>
    <row r="256" spans="1:14" x14ac:dyDescent="0.25">
      <c r="A256" s="4" t="str">
        <f t="shared" si="3"/>
        <v>الصناعات الهندسية المعمارية للانشاء والتعمير - ايكون</v>
      </c>
      <c r="B256" t="s">
        <v>421</v>
      </c>
      <c r="C256" t="s">
        <v>71</v>
      </c>
      <c r="D256">
        <v>35.94</v>
      </c>
      <c r="E256">
        <v>35.94</v>
      </c>
      <c r="F256">
        <v>35.700000000000003</v>
      </c>
      <c r="G256">
        <v>-0.67</v>
      </c>
      <c r="H256">
        <v>35.700000000000003</v>
      </c>
      <c r="I256">
        <v>36.46</v>
      </c>
      <c r="J256">
        <v>35.700000000000003</v>
      </c>
      <c r="K256" s="2">
        <v>7793410.1900000004</v>
      </c>
      <c r="L256" s="3">
        <v>216897</v>
      </c>
      <c r="M256" s="3">
        <v>319</v>
      </c>
      <c r="N256" s="3">
        <v>5194</v>
      </c>
    </row>
    <row r="257" spans="1:14" x14ac:dyDescent="0.25">
      <c r="A257" s="4" t="str">
        <f t="shared" si="3"/>
        <v>تفاصيل إضافية للشركة</v>
      </c>
      <c r="B257" t="s">
        <v>208</v>
      </c>
      <c r="K257" s="2"/>
      <c r="L257" s="3"/>
      <c r="M257" s="3"/>
      <c r="N257" s="3"/>
    </row>
    <row r="258" spans="1:14" x14ac:dyDescent="0.25">
      <c r="A258" s="4" t="str">
        <f t="shared" ref="A258:A321" si="4">B259</f>
        <v>الكابلات الكهربائية المصرية</v>
      </c>
      <c r="B258" t="s">
        <v>421</v>
      </c>
      <c r="C258" t="s">
        <v>46</v>
      </c>
      <c r="D258">
        <v>2.1</v>
      </c>
      <c r="E258">
        <v>2.1</v>
      </c>
      <c r="F258">
        <v>2.14</v>
      </c>
      <c r="G258">
        <v>1.9</v>
      </c>
      <c r="H258">
        <v>2.14</v>
      </c>
      <c r="I258">
        <v>2.15</v>
      </c>
      <c r="J258">
        <v>2.11</v>
      </c>
      <c r="K258" s="2">
        <v>17847851.059999999</v>
      </c>
      <c r="L258" s="3">
        <v>8354081</v>
      </c>
      <c r="M258" s="3">
        <v>503</v>
      </c>
      <c r="N258" s="3">
        <v>7091</v>
      </c>
    </row>
    <row r="259" spans="1:14" x14ac:dyDescent="0.25">
      <c r="A259" s="4" t="str">
        <f t="shared" si="4"/>
        <v>تفاصيل إضافية للشركة</v>
      </c>
      <c r="B259" t="s">
        <v>123</v>
      </c>
      <c r="K259" s="2"/>
      <c r="L259" s="3"/>
      <c r="M259" s="3"/>
      <c r="N259" s="3"/>
    </row>
    <row r="260" spans="1:14" x14ac:dyDescent="0.25">
      <c r="A260" s="4" t="str">
        <f t="shared" si="4"/>
        <v>القناة للتوكيلات الملاحية</v>
      </c>
      <c r="B260" t="s">
        <v>421</v>
      </c>
      <c r="C260" t="s">
        <v>111</v>
      </c>
      <c r="D260">
        <v>31.39</v>
      </c>
      <c r="E260">
        <v>31.39</v>
      </c>
      <c r="F260">
        <v>31.36</v>
      </c>
      <c r="G260">
        <v>-0.1</v>
      </c>
      <c r="H260">
        <v>31.36</v>
      </c>
      <c r="I260">
        <v>31.59</v>
      </c>
      <c r="J260">
        <v>31.12</v>
      </c>
      <c r="K260" s="2">
        <v>5899817</v>
      </c>
      <c r="L260" s="3">
        <v>188456</v>
      </c>
      <c r="M260" s="3">
        <v>264</v>
      </c>
      <c r="N260" s="3">
        <v>9408</v>
      </c>
    </row>
    <row r="261" spans="1:14" x14ac:dyDescent="0.25">
      <c r="A261" s="4" t="str">
        <f t="shared" si="4"/>
        <v>تفاصيل إضافية للشركة</v>
      </c>
      <c r="B261" t="s">
        <v>209</v>
      </c>
      <c r="K261" s="2"/>
      <c r="L261" s="3"/>
      <c r="M261" s="3"/>
      <c r="N261" s="3"/>
    </row>
    <row r="262" spans="1:14" x14ac:dyDescent="0.25">
      <c r="A262" s="4" t="str">
        <f t="shared" si="4"/>
        <v>المصرية للاتصالات</v>
      </c>
      <c r="B262" t="s">
        <v>421</v>
      </c>
      <c r="C262" t="s">
        <v>59</v>
      </c>
      <c r="D262">
        <v>93</v>
      </c>
      <c r="E262">
        <v>93</v>
      </c>
      <c r="F262">
        <v>93</v>
      </c>
      <c r="G262">
        <v>0</v>
      </c>
      <c r="H262">
        <v>93</v>
      </c>
      <c r="I262">
        <v>93.7</v>
      </c>
      <c r="J262">
        <v>92.31</v>
      </c>
      <c r="K262" s="2">
        <v>73687533.780000001</v>
      </c>
      <c r="L262" s="3">
        <v>793263</v>
      </c>
      <c r="M262" s="3">
        <v>2642</v>
      </c>
      <c r="N262" s="3">
        <v>158758</v>
      </c>
    </row>
    <row r="263" spans="1:14" x14ac:dyDescent="0.25">
      <c r="A263" s="4" t="str">
        <f t="shared" si="4"/>
        <v>تفاصيل إضافية للشركة</v>
      </c>
      <c r="B263" t="s">
        <v>6</v>
      </c>
      <c r="K263" s="2"/>
      <c r="L263" s="3"/>
      <c r="M263" s="3"/>
      <c r="N263" s="3"/>
    </row>
    <row r="264" spans="1:14" x14ac:dyDescent="0.25">
      <c r="A264" s="4" t="str">
        <f t="shared" si="4"/>
        <v>A.T.LEASEالتوفيق للتأجير التمويلي -أية.تي.ليس</v>
      </c>
      <c r="B264" t="s">
        <v>421</v>
      </c>
      <c r="C264" t="s">
        <v>44</v>
      </c>
      <c r="D264">
        <v>5.2</v>
      </c>
      <c r="E264">
        <v>5.2</v>
      </c>
      <c r="F264">
        <v>5.16</v>
      </c>
      <c r="G264">
        <v>-0.77</v>
      </c>
      <c r="H264">
        <v>5.16</v>
      </c>
      <c r="I264">
        <v>5.23</v>
      </c>
      <c r="J264">
        <v>5.09</v>
      </c>
      <c r="K264" s="2">
        <v>5419133.2000000002</v>
      </c>
      <c r="L264" s="3">
        <v>1051257</v>
      </c>
      <c r="M264" s="3">
        <v>264</v>
      </c>
      <c r="N264" s="3">
        <v>2064</v>
      </c>
    </row>
    <row r="265" spans="1:14" x14ac:dyDescent="0.25">
      <c r="A265" s="4" t="str">
        <f t="shared" si="4"/>
        <v>تفاصيل إضافية للشركة</v>
      </c>
      <c r="B265" t="s">
        <v>211</v>
      </c>
      <c r="K265" s="2"/>
      <c r="L265" s="3"/>
      <c r="M265" s="3"/>
      <c r="N265" s="3"/>
    </row>
    <row r="266" spans="1:14" x14ac:dyDescent="0.25">
      <c r="A266" s="4" t="str">
        <f t="shared" si="4"/>
        <v>مصر لإنتاج الأسمدة - موبكو</v>
      </c>
      <c r="B266" t="s">
        <v>421</v>
      </c>
      <c r="C266" t="s">
        <v>61</v>
      </c>
      <c r="D266">
        <v>37.4</v>
      </c>
      <c r="E266">
        <v>37.4</v>
      </c>
      <c r="F266">
        <v>37.17</v>
      </c>
      <c r="G266">
        <v>-0.61</v>
      </c>
      <c r="H266">
        <v>37.17</v>
      </c>
      <c r="I266">
        <v>37.700000000000003</v>
      </c>
      <c r="J266">
        <v>37.020000000000003</v>
      </c>
      <c r="K266" s="2">
        <v>84989952.189999998</v>
      </c>
      <c r="L266" s="3">
        <v>2285196</v>
      </c>
      <c r="M266" s="3">
        <v>3151</v>
      </c>
      <c r="N266" s="3">
        <v>106609</v>
      </c>
    </row>
    <row r="267" spans="1:14" x14ac:dyDescent="0.25">
      <c r="A267" s="4" t="str">
        <f t="shared" si="4"/>
        <v>تفاصيل إضافية للشركة</v>
      </c>
      <c r="B267" t="s">
        <v>213</v>
      </c>
      <c r="K267" s="2"/>
      <c r="L267" s="3"/>
      <c r="M267" s="3"/>
      <c r="N267" s="3"/>
    </row>
    <row r="268" spans="1:14" x14ac:dyDescent="0.25">
      <c r="A268" s="4" t="str">
        <f t="shared" si="4"/>
        <v>بى انفستمنتس القابضه</v>
      </c>
      <c r="B268" t="s">
        <v>421</v>
      </c>
      <c r="C268" t="s">
        <v>44</v>
      </c>
      <c r="D268">
        <v>47.89</v>
      </c>
      <c r="E268">
        <v>47.89</v>
      </c>
      <c r="F268">
        <v>47.25</v>
      </c>
      <c r="G268">
        <v>-1.34</v>
      </c>
      <c r="H268">
        <v>47.25</v>
      </c>
      <c r="I268">
        <v>48</v>
      </c>
      <c r="J268">
        <v>46.32</v>
      </c>
      <c r="K268" s="2">
        <v>8749171.2799999993</v>
      </c>
      <c r="L268" s="3">
        <v>186559</v>
      </c>
      <c r="M268" s="3">
        <v>244</v>
      </c>
      <c r="N268" s="3">
        <v>10318</v>
      </c>
    </row>
    <row r="269" spans="1:14" x14ac:dyDescent="0.25">
      <c r="A269" s="4" t="str">
        <f t="shared" si="4"/>
        <v>تفاصيل إضافية للشركة</v>
      </c>
      <c r="B269" t="s">
        <v>114</v>
      </c>
      <c r="K269" s="2"/>
      <c r="L269" s="3"/>
      <c r="M269" s="3"/>
      <c r="N269" s="3"/>
    </row>
    <row r="270" spans="1:14" x14ac:dyDescent="0.25">
      <c r="A270" s="4" t="str">
        <f t="shared" si="4"/>
        <v>المطورون العرب القابضة</v>
      </c>
      <c r="B270" t="s">
        <v>421</v>
      </c>
      <c r="C270" t="s">
        <v>40</v>
      </c>
      <c r="D270">
        <v>0.217</v>
      </c>
      <c r="E270">
        <v>0.217</v>
      </c>
      <c r="F270">
        <v>0.216</v>
      </c>
      <c r="G270">
        <v>-0.46</v>
      </c>
      <c r="H270">
        <v>0.216</v>
      </c>
      <c r="I270">
        <v>0.224</v>
      </c>
      <c r="J270">
        <v>0.215</v>
      </c>
      <c r="K270" s="2">
        <v>121253465.34</v>
      </c>
      <c r="L270" s="3">
        <v>554792997</v>
      </c>
      <c r="M270" s="3">
        <v>2126</v>
      </c>
      <c r="N270" s="3">
        <v>3003</v>
      </c>
    </row>
    <row r="271" spans="1:14" x14ac:dyDescent="0.25">
      <c r="A271" s="4" t="str">
        <f t="shared" si="4"/>
        <v>تفاصيل إضافية للشركة</v>
      </c>
      <c r="B271" t="s">
        <v>214</v>
      </c>
      <c r="K271" s="2"/>
      <c r="L271" s="3"/>
      <c r="M271" s="3"/>
      <c r="N271" s="3"/>
    </row>
    <row r="272" spans="1:14" x14ac:dyDescent="0.25">
      <c r="A272" s="4" t="str">
        <f t="shared" si="4"/>
        <v>البنك التجاري الدولي -مصر (سى اى بى )</v>
      </c>
      <c r="B272" t="s">
        <v>421</v>
      </c>
      <c r="C272" t="s">
        <v>49</v>
      </c>
      <c r="D272">
        <v>134.75</v>
      </c>
      <c r="E272">
        <v>134.75</v>
      </c>
      <c r="F272">
        <v>133.4</v>
      </c>
      <c r="G272">
        <v>-1</v>
      </c>
      <c r="H272">
        <v>133.4</v>
      </c>
      <c r="I272">
        <v>134.19999999999999</v>
      </c>
      <c r="J272">
        <v>133.03</v>
      </c>
      <c r="K272" s="2">
        <v>477917586.98000002</v>
      </c>
      <c r="L272" s="3">
        <v>3577275</v>
      </c>
      <c r="M272" s="3">
        <v>3581</v>
      </c>
      <c r="N272" s="3">
        <v>454246</v>
      </c>
    </row>
    <row r="273" spans="1:14" x14ac:dyDescent="0.25">
      <c r="A273" s="4" t="str">
        <f t="shared" si="4"/>
        <v>تفاصيل إضافية للشركة</v>
      </c>
      <c r="B273" t="s">
        <v>215</v>
      </c>
      <c r="K273" s="2"/>
      <c r="L273" s="3"/>
      <c r="N273" s="3"/>
    </row>
    <row r="274" spans="1:14" x14ac:dyDescent="0.25">
      <c r="A274" s="4" t="str">
        <f t="shared" si="4"/>
        <v>مصرف أبو ظبي الأسلامي- مصر</v>
      </c>
      <c r="B274" t="s">
        <v>421</v>
      </c>
      <c r="C274" t="s">
        <v>49</v>
      </c>
      <c r="D274">
        <v>47.3</v>
      </c>
      <c r="E274">
        <v>47.3</v>
      </c>
      <c r="F274">
        <v>47.8</v>
      </c>
      <c r="G274">
        <v>1.06</v>
      </c>
      <c r="H274">
        <v>47.8</v>
      </c>
      <c r="I274">
        <v>47.8</v>
      </c>
      <c r="J274">
        <v>46.86</v>
      </c>
      <c r="K274" s="2">
        <v>74269263.359999999</v>
      </c>
      <c r="L274" s="3">
        <v>1564948</v>
      </c>
      <c r="M274" s="3">
        <v>1944</v>
      </c>
      <c r="N274" s="3">
        <v>71700</v>
      </c>
    </row>
    <row r="275" spans="1:14" x14ac:dyDescent="0.25">
      <c r="A275" s="4" t="str">
        <f t="shared" si="4"/>
        <v>تفاصيل إضافية للشركة</v>
      </c>
      <c r="B275" t="s">
        <v>216</v>
      </c>
      <c r="K275" s="2"/>
      <c r="L275" s="3"/>
      <c r="M275" s="3"/>
      <c r="N275" s="3"/>
    </row>
    <row r="276" spans="1:14" x14ac:dyDescent="0.25">
      <c r="A276" s="4" t="str">
        <f t="shared" si="4"/>
        <v>بنك البركة مصر</v>
      </c>
      <c r="B276" t="s">
        <v>421</v>
      </c>
      <c r="C276" t="s">
        <v>49</v>
      </c>
      <c r="D276">
        <v>22</v>
      </c>
      <c r="E276">
        <v>22</v>
      </c>
      <c r="F276">
        <v>21.96</v>
      </c>
      <c r="G276">
        <v>-0.18</v>
      </c>
      <c r="H276">
        <v>21.9</v>
      </c>
      <c r="I276">
        <v>22</v>
      </c>
      <c r="J276">
        <v>21.72</v>
      </c>
      <c r="K276" s="2">
        <v>5365095.67</v>
      </c>
      <c r="L276" s="3">
        <v>245010</v>
      </c>
      <c r="M276" s="3">
        <v>282</v>
      </c>
      <c r="N276" s="3">
        <v>15968</v>
      </c>
    </row>
    <row r="277" spans="1:14" x14ac:dyDescent="0.25">
      <c r="A277" s="4" t="str">
        <f t="shared" si="4"/>
        <v>تفاصيل إضافية للشركة</v>
      </c>
      <c r="B277" t="s">
        <v>217</v>
      </c>
      <c r="K277" s="2"/>
      <c r="L277" s="3"/>
      <c r="M277" s="3"/>
      <c r="N277" s="3"/>
    </row>
    <row r="278" spans="1:14" x14ac:dyDescent="0.25">
      <c r="A278" s="4" t="str">
        <f t="shared" si="4"/>
        <v>مصر للالومنيوم</v>
      </c>
      <c r="B278" t="s">
        <v>421</v>
      </c>
      <c r="C278" t="s">
        <v>61</v>
      </c>
      <c r="D278">
        <v>299</v>
      </c>
      <c r="E278">
        <v>299</v>
      </c>
      <c r="F278">
        <v>299</v>
      </c>
      <c r="G278">
        <v>0</v>
      </c>
      <c r="H278">
        <v>299</v>
      </c>
      <c r="I278">
        <v>303</v>
      </c>
      <c r="J278">
        <v>298.10000000000002</v>
      </c>
      <c r="K278" s="2">
        <v>35495906.609999999</v>
      </c>
      <c r="L278" s="3">
        <v>118398</v>
      </c>
      <c r="M278" s="3">
        <v>2075</v>
      </c>
      <c r="N278" s="3">
        <v>123338</v>
      </c>
    </row>
    <row r="279" spans="1:14" x14ac:dyDescent="0.25">
      <c r="A279" s="4" t="str">
        <f t="shared" si="4"/>
        <v>تفاصيل إضافية للشركة</v>
      </c>
      <c r="B279" t="s">
        <v>10</v>
      </c>
      <c r="K279" s="2"/>
      <c r="L279" s="3"/>
      <c r="M279" s="3"/>
      <c r="N279" s="3"/>
    </row>
    <row r="280" spans="1:14" x14ac:dyDescent="0.25">
      <c r="A280" s="4" t="str">
        <f t="shared" si="4"/>
        <v>جراند انفستمنت القابضة للاستثمارات المالية</v>
      </c>
      <c r="B280" t="s">
        <v>421</v>
      </c>
      <c r="C280" t="s">
        <v>44</v>
      </c>
      <c r="D280">
        <v>55.41</v>
      </c>
      <c r="E280">
        <v>55.41</v>
      </c>
      <c r="F280">
        <v>53.35</v>
      </c>
      <c r="G280">
        <v>-3.72</v>
      </c>
      <c r="H280">
        <v>53.35</v>
      </c>
      <c r="I280">
        <v>55.5</v>
      </c>
      <c r="J280">
        <v>52.15</v>
      </c>
      <c r="K280" s="2">
        <v>1428881.8</v>
      </c>
      <c r="L280" s="3">
        <v>26734</v>
      </c>
      <c r="M280" s="3">
        <v>73</v>
      </c>
      <c r="N280" s="3">
        <v>416</v>
      </c>
    </row>
    <row r="281" spans="1:14" x14ac:dyDescent="0.25">
      <c r="A281" s="4" t="str">
        <f t="shared" si="4"/>
        <v>تفاصيل إضافية للشركة</v>
      </c>
      <c r="B281" t="s">
        <v>218</v>
      </c>
      <c r="K281" s="2"/>
      <c r="L281" s="3"/>
      <c r="M281" s="3"/>
      <c r="N281" s="3"/>
    </row>
    <row r="282" spans="1:14" x14ac:dyDescent="0.25">
      <c r="A282" s="4" t="str">
        <f t="shared" si="4"/>
        <v>الاسماعيلية الجديدة للتطوير والتنمية العمرانية-شركة منقسمة</v>
      </c>
      <c r="B282" t="s">
        <v>421</v>
      </c>
      <c r="C282" t="s">
        <v>40</v>
      </c>
      <c r="D282">
        <v>43.03</v>
      </c>
      <c r="E282">
        <v>43.03</v>
      </c>
      <c r="F282">
        <v>44</v>
      </c>
      <c r="G282">
        <v>2.25</v>
      </c>
      <c r="H282">
        <v>44</v>
      </c>
      <c r="I282">
        <v>44.6</v>
      </c>
      <c r="J282">
        <v>43.03</v>
      </c>
      <c r="K282" s="2">
        <v>12220608.140000001</v>
      </c>
      <c r="L282" s="3">
        <v>278363</v>
      </c>
      <c r="M282" s="3">
        <v>444</v>
      </c>
      <c r="N282" s="3">
        <v>1621</v>
      </c>
    </row>
    <row r="283" spans="1:14" x14ac:dyDescent="0.25">
      <c r="A283" s="4" t="str">
        <f t="shared" si="4"/>
        <v>تفاصيل إضافية للشركة</v>
      </c>
      <c r="B283" t="s">
        <v>219</v>
      </c>
      <c r="K283" s="2"/>
      <c r="L283" s="3"/>
      <c r="N283" s="3"/>
    </row>
    <row r="284" spans="1:14" x14ac:dyDescent="0.25">
      <c r="A284" s="4" t="str">
        <f t="shared" si="4"/>
        <v>القلعة للاستثمارات المالية</v>
      </c>
      <c r="B284" t="s">
        <v>421</v>
      </c>
      <c r="C284" t="s">
        <v>44</v>
      </c>
      <c r="D284">
        <v>5.03</v>
      </c>
      <c r="E284">
        <v>5.03</v>
      </c>
      <c r="F284">
        <v>5.12</v>
      </c>
      <c r="G284">
        <v>1.79</v>
      </c>
      <c r="H284">
        <v>5.12</v>
      </c>
      <c r="I284">
        <v>5.17</v>
      </c>
      <c r="J284">
        <v>4.9800000000000004</v>
      </c>
      <c r="K284" s="2">
        <v>730365774.95000005</v>
      </c>
      <c r="L284" s="3">
        <v>143611803</v>
      </c>
      <c r="M284" s="3">
        <v>4589</v>
      </c>
      <c r="N284" s="3">
        <v>16468</v>
      </c>
    </row>
    <row r="285" spans="1:14" x14ac:dyDescent="0.25">
      <c r="A285" s="4" t="str">
        <f t="shared" si="4"/>
        <v>تفاصيل إضافية للشركة</v>
      </c>
      <c r="B285" t="s">
        <v>220</v>
      </c>
      <c r="K285" s="2"/>
      <c r="L285" s="3"/>
      <c r="M285" s="3"/>
      <c r="N285" s="3"/>
    </row>
    <row r="286" spans="1:14" x14ac:dyDescent="0.25">
      <c r="A286" s="4" t="str">
        <f t="shared" si="4"/>
        <v>اوراسكوم للاستثمار القابضه</v>
      </c>
      <c r="B286" t="s">
        <v>421</v>
      </c>
      <c r="C286" t="s">
        <v>59</v>
      </c>
      <c r="D286">
        <v>1.37</v>
      </c>
      <c r="E286">
        <v>1.37</v>
      </c>
      <c r="F286">
        <v>1.37</v>
      </c>
      <c r="G286">
        <v>0</v>
      </c>
      <c r="H286">
        <v>1.37</v>
      </c>
      <c r="I286">
        <v>1.38</v>
      </c>
      <c r="J286">
        <v>1.36</v>
      </c>
      <c r="K286" s="2">
        <v>13783202.92</v>
      </c>
      <c r="L286" s="3">
        <v>10031487</v>
      </c>
      <c r="M286" s="3">
        <v>587</v>
      </c>
      <c r="N286" s="3">
        <v>7187</v>
      </c>
    </row>
    <row r="287" spans="1:14" x14ac:dyDescent="0.25">
      <c r="A287" s="4" t="str">
        <f t="shared" si="4"/>
        <v>تفاصيل إضافية للشركة</v>
      </c>
      <c r="B287" t="s">
        <v>221</v>
      </c>
      <c r="K287" s="2"/>
      <c r="L287" s="3"/>
      <c r="M287" s="3"/>
      <c r="N287" s="3"/>
    </row>
    <row r="288" spans="1:14" x14ac:dyDescent="0.25">
      <c r="A288" s="4" t="str">
        <f t="shared" si="4"/>
        <v>جهينة للصناعات الغذائية</v>
      </c>
      <c r="B288" t="s">
        <v>421</v>
      </c>
      <c r="C288" t="s">
        <v>48</v>
      </c>
      <c r="D288">
        <v>30.94</v>
      </c>
      <c r="E288">
        <v>30.94</v>
      </c>
      <c r="F288">
        <v>30.8</v>
      </c>
      <c r="G288">
        <v>-0.45</v>
      </c>
      <c r="H288">
        <v>30.8</v>
      </c>
      <c r="I288">
        <v>31</v>
      </c>
      <c r="J288">
        <v>30.05</v>
      </c>
      <c r="K288" s="2">
        <v>21728962.48</v>
      </c>
      <c r="L288" s="3">
        <v>712893</v>
      </c>
      <c r="M288" s="3">
        <v>1023</v>
      </c>
      <c r="N288" s="3">
        <v>36244</v>
      </c>
    </row>
    <row r="289" spans="1:14" x14ac:dyDescent="0.25">
      <c r="A289" s="4" t="str">
        <f t="shared" si="4"/>
        <v>تفاصيل إضافية للشركة</v>
      </c>
      <c r="B289" t="s">
        <v>116</v>
      </c>
      <c r="K289" s="2"/>
      <c r="L289" s="3"/>
      <c r="M289" s="3"/>
      <c r="N289" s="3"/>
    </row>
    <row r="290" spans="1:14" x14ac:dyDescent="0.25">
      <c r="A290" s="4" t="str">
        <f t="shared" si="4"/>
        <v>ايديتا للصناعات الغذائية</v>
      </c>
      <c r="B290" t="s">
        <v>421</v>
      </c>
      <c r="C290" t="s">
        <v>48</v>
      </c>
      <c r="D290">
        <v>28.8</v>
      </c>
      <c r="E290">
        <v>28.8</v>
      </c>
      <c r="F290">
        <v>28.39</v>
      </c>
      <c r="G290">
        <v>-1.42</v>
      </c>
      <c r="H290">
        <v>28.39</v>
      </c>
      <c r="I290">
        <v>28.86</v>
      </c>
      <c r="J290">
        <v>28.2</v>
      </c>
      <c r="K290" s="2">
        <v>32954905.329999998</v>
      </c>
      <c r="L290" s="3">
        <v>1161419</v>
      </c>
      <c r="M290" s="3">
        <v>1869</v>
      </c>
      <c r="N290" s="3">
        <v>39747</v>
      </c>
    </row>
    <row r="291" spans="1:14" x14ac:dyDescent="0.25">
      <c r="A291" s="4" t="str">
        <f t="shared" si="4"/>
        <v>تفاصيل إضافية للشركة</v>
      </c>
      <c r="B291" t="s">
        <v>117</v>
      </c>
      <c r="K291" s="2"/>
      <c r="L291" s="3"/>
      <c r="M291" s="3"/>
      <c r="N291" s="3"/>
    </row>
    <row r="292" spans="1:14" x14ac:dyDescent="0.25">
      <c r="A292" s="4" t="str">
        <f t="shared" si="4"/>
        <v>العربية للاسمنت</v>
      </c>
      <c r="B292" t="s">
        <v>421</v>
      </c>
      <c r="C292" t="s">
        <v>93</v>
      </c>
      <c r="D292">
        <v>56.65</v>
      </c>
      <c r="E292">
        <v>56.65</v>
      </c>
      <c r="F292">
        <v>56.11</v>
      </c>
      <c r="G292">
        <v>-0.95</v>
      </c>
      <c r="H292">
        <v>56.11</v>
      </c>
      <c r="I292">
        <v>56.95</v>
      </c>
      <c r="J292">
        <v>56</v>
      </c>
      <c r="K292" s="2">
        <v>24711995.48</v>
      </c>
      <c r="L292" s="3">
        <v>440079</v>
      </c>
      <c r="M292" s="3">
        <v>930</v>
      </c>
      <c r="N292" s="3">
        <v>21251</v>
      </c>
    </row>
    <row r="293" spans="1:14" x14ac:dyDescent="0.25">
      <c r="A293" s="4" t="str">
        <f t="shared" si="4"/>
        <v>تفاصيل إضافية للشركة</v>
      </c>
      <c r="B293" t="s">
        <v>118</v>
      </c>
      <c r="K293" s="2"/>
      <c r="L293" s="3"/>
      <c r="M293" s="3"/>
      <c r="N293" s="3"/>
    </row>
    <row r="294" spans="1:14" x14ac:dyDescent="0.25">
      <c r="A294" s="4" t="str">
        <f t="shared" si="4"/>
        <v>شركة مستشفي كليوباترا</v>
      </c>
      <c r="B294" t="s">
        <v>421</v>
      </c>
      <c r="C294" t="s">
        <v>51</v>
      </c>
      <c r="D294">
        <v>15.49</v>
      </c>
      <c r="E294">
        <v>15.49</v>
      </c>
      <c r="F294">
        <v>15.59</v>
      </c>
      <c r="G294">
        <v>0.65</v>
      </c>
      <c r="H294">
        <v>15.59</v>
      </c>
      <c r="I294">
        <v>15.61</v>
      </c>
      <c r="J294">
        <v>15.25</v>
      </c>
      <c r="K294" s="2">
        <v>7752118.7400000002</v>
      </c>
      <c r="L294" s="3">
        <v>499836</v>
      </c>
      <c r="M294" s="3">
        <v>375</v>
      </c>
      <c r="N294" s="3">
        <v>22597</v>
      </c>
    </row>
    <row r="295" spans="1:14" x14ac:dyDescent="0.25">
      <c r="A295" s="4" t="str">
        <f t="shared" si="4"/>
        <v>تفاصيل إضافية للشركة</v>
      </c>
      <c r="B295" t="s">
        <v>226</v>
      </c>
      <c r="K295" s="2"/>
      <c r="L295" s="3"/>
      <c r="M295" s="3"/>
      <c r="N295" s="3"/>
    </row>
    <row r="296" spans="1:14" x14ac:dyDescent="0.25">
      <c r="A296" s="4" t="str">
        <f t="shared" si="4"/>
        <v>كونتكت المالية القابضة</v>
      </c>
      <c r="B296" t="s">
        <v>421</v>
      </c>
      <c r="C296" t="s">
        <v>44</v>
      </c>
      <c r="D296">
        <v>4.42</v>
      </c>
      <c r="E296">
        <v>4.42</v>
      </c>
      <c r="F296">
        <v>4.4000000000000004</v>
      </c>
      <c r="G296">
        <v>-0.45</v>
      </c>
      <c r="H296">
        <v>4.4000000000000004</v>
      </c>
      <c r="I296">
        <v>4.49</v>
      </c>
      <c r="J296">
        <v>4.4000000000000004</v>
      </c>
      <c r="K296" s="2">
        <v>7421893.6100000003</v>
      </c>
      <c r="L296" s="3">
        <v>1676362</v>
      </c>
      <c r="M296" s="3">
        <v>281</v>
      </c>
      <c r="N296" s="3">
        <v>5267</v>
      </c>
    </row>
    <row r="297" spans="1:14" x14ac:dyDescent="0.25">
      <c r="A297" s="4" t="str">
        <f t="shared" si="4"/>
        <v>تفاصيل إضافية للشركة</v>
      </c>
      <c r="B297" t="s">
        <v>119</v>
      </c>
      <c r="K297" s="2"/>
      <c r="L297" s="3"/>
      <c r="M297" s="3"/>
      <c r="N297" s="3"/>
    </row>
    <row r="298" spans="1:14" x14ac:dyDescent="0.25">
      <c r="A298" s="4" t="str">
        <f t="shared" si="4"/>
        <v>او بي المالية القابضة</v>
      </c>
      <c r="B298" t="s">
        <v>421</v>
      </c>
      <c r="C298" t="s">
        <v>44</v>
      </c>
      <c r="D298">
        <v>0.61699999999999999</v>
      </c>
      <c r="E298">
        <v>0.61699999999999999</v>
      </c>
      <c r="F298">
        <v>0.61699999999999999</v>
      </c>
      <c r="G298">
        <v>0</v>
      </c>
      <c r="H298">
        <v>0.61699999999999999</v>
      </c>
      <c r="I298">
        <v>0.621</v>
      </c>
      <c r="J298">
        <v>0.61299999999999999</v>
      </c>
      <c r="K298" s="2">
        <v>9125712.8800000008</v>
      </c>
      <c r="L298" s="3">
        <v>14779160</v>
      </c>
      <c r="M298" s="3">
        <v>269</v>
      </c>
      <c r="N298" s="3">
        <v>2855</v>
      </c>
    </row>
    <row r="299" spans="1:14" x14ac:dyDescent="0.25">
      <c r="A299" s="4" t="str">
        <f t="shared" si="4"/>
        <v>تفاصيل إضافية للشركة</v>
      </c>
      <c r="B299" t="s">
        <v>227</v>
      </c>
      <c r="K299" s="2"/>
      <c r="L299" s="3"/>
      <c r="N299" s="3"/>
    </row>
    <row r="300" spans="1:14" x14ac:dyDescent="0.25">
      <c r="A300" s="4" t="str">
        <f t="shared" si="4"/>
        <v>الشركة العربية لادارة وتطوير الاصول</v>
      </c>
      <c r="B300" t="s">
        <v>421</v>
      </c>
      <c r="C300" t="s">
        <v>40</v>
      </c>
      <c r="D300">
        <v>2.2999999999999998</v>
      </c>
      <c r="E300">
        <v>2.2999999999999998</v>
      </c>
      <c r="F300">
        <v>2.36</v>
      </c>
      <c r="G300">
        <v>2.61</v>
      </c>
      <c r="H300">
        <v>2.36</v>
      </c>
      <c r="I300">
        <v>2.4</v>
      </c>
      <c r="J300">
        <v>2.33</v>
      </c>
      <c r="K300" s="2">
        <v>97006499.930000007</v>
      </c>
      <c r="L300" s="3">
        <v>41079674</v>
      </c>
      <c r="M300" s="3">
        <v>1528</v>
      </c>
      <c r="N300" s="3">
        <v>3125</v>
      </c>
    </row>
    <row r="301" spans="1:14" x14ac:dyDescent="0.25">
      <c r="A301" s="4" t="str">
        <f t="shared" si="4"/>
        <v>تفاصيل إضافية للشركة</v>
      </c>
      <c r="B301" t="s">
        <v>228</v>
      </c>
      <c r="K301" s="2"/>
      <c r="L301" s="3"/>
      <c r="M301" s="3"/>
      <c r="N301" s="3"/>
    </row>
    <row r="302" spans="1:14" x14ac:dyDescent="0.25">
      <c r="A302" s="4" t="str">
        <f t="shared" si="4"/>
        <v>ماكرو جروب للمستحضرات الطبية-ماكرو كابيتال</v>
      </c>
      <c r="B302" t="s">
        <v>421</v>
      </c>
      <c r="C302" t="s">
        <v>51</v>
      </c>
      <c r="D302">
        <v>1.24</v>
      </c>
      <c r="E302">
        <v>1.24</v>
      </c>
      <c r="F302">
        <v>1.24</v>
      </c>
      <c r="G302">
        <v>0</v>
      </c>
      <c r="H302">
        <v>1.24</v>
      </c>
      <c r="I302">
        <v>1.27</v>
      </c>
      <c r="J302">
        <v>1.23</v>
      </c>
      <c r="K302" s="2">
        <v>46735186.890000001</v>
      </c>
      <c r="L302" s="3">
        <v>37499679</v>
      </c>
      <c r="M302" s="3">
        <v>1161</v>
      </c>
      <c r="N302" s="3">
        <v>4242</v>
      </c>
    </row>
    <row r="303" spans="1:14" x14ac:dyDescent="0.25">
      <c r="A303" s="4" t="str">
        <f t="shared" si="4"/>
        <v>تفاصيل إضافية للشركة</v>
      </c>
      <c r="B303" t="s">
        <v>120</v>
      </c>
      <c r="K303" s="2"/>
      <c r="L303" s="3"/>
      <c r="N303" s="3"/>
    </row>
    <row r="304" spans="1:14" x14ac:dyDescent="0.25">
      <c r="A304" s="4" t="str">
        <f t="shared" si="4"/>
        <v>فالمور القابضة للاستثماربالجنية</v>
      </c>
      <c r="B304" t="s">
        <v>421</v>
      </c>
      <c r="C304" t="s">
        <v>44</v>
      </c>
      <c r="D304">
        <v>27.94</v>
      </c>
      <c r="E304">
        <v>27.94</v>
      </c>
      <c r="F304">
        <v>28.53</v>
      </c>
      <c r="G304">
        <v>2.11</v>
      </c>
      <c r="H304">
        <v>28.53</v>
      </c>
      <c r="I304">
        <v>28.85</v>
      </c>
      <c r="J304">
        <v>27.95</v>
      </c>
      <c r="K304" s="2">
        <v>56486775.979999997</v>
      </c>
      <c r="L304" s="3">
        <v>1987765</v>
      </c>
      <c r="M304" s="3">
        <v>1564</v>
      </c>
      <c r="N304" s="3">
        <v>10054</v>
      </c>
    </row>
    <row r="305" spans="1:14" x14ac:dyDescent="0.25">
      <c r="A305" s="4" t="str">
        <f t="shared" si="4"/>
        <v>تفاصيل إضافية للشركة</v>
      </c>
      <c r="B305" t="s">
        <v>230</v>
      </c>
      <c r="K305" s="2"/>
      <c r="L305" s="3"/>
      <c r="M305" s="3"/>
      <c r="N305" s="3"/>
    </row>
    <row r="306" spans="1:14" x14ac:dyDescent="0.25">
      <c r="A306" s="4" t="str">
        <f t="shared" si="4"/>
        <v>ابن سينا فارما</v>
      </c>
      <c r="B306" t="s">
        <v>421</v>
      </c>
      <c r="C306" t="s">
        <v>51</v>
      </c>
      <c r="D306">
        <v>12.16</v>
      </c>
      <c r="E306">
        <v>12.16</v>
      </c>
      <c r="F306">
        <v>12.07</v>
      </c>
      <c r="G306">
        <v>-0.74</v>
      </c>
      <c r="H306">
        <v>12.07</v>
      </c>
      <c r="I306">
        <v>12.29</v>
      </c>
      <c r="J306">
        <v>12.03</v>
      </c>
      <c r="K306" s="2">
        <v>43380076.100000001</v>
      </c>
      <c r="L306" s="3">
        <v>3562059</v>
      </c>
      <c r="M306" s="3">
        <v>1609</v>
      </c>
      <c r="N306" s="3">
        <v>12167</v>
      </c>
    </row>
    <row r="307" spans="1:14" x14ac:dyDescent="0.25">
      <c r="A307" s="4" t="str">
        <f t="shared" si="4"/>
        <v>تفاصيل إضافية للشركة</v>
      </c>
      <c r="B307" t="s">
        <v>9</v>
      </c>
      <c r="K307" s="2"/>
      <c r="L307" s="3"/>
      <c r="M307" s="3"/>
      <c r="N307" s="3"/>
    </row>
    <row r="308" spans="1:14" x14ac:dyDescent="0.25">
      <c r="A308" s="4" t="str">
        <f t="shared" si="4"/>
        <v>تنمية للاستثمار العقاري</v>
      </c>
      <c r="B308" t="s">
        <v>421</v>
      </c>
      <c r="C308" t="s">
        <v>40</v>
      </c>
      <c r="D308">
        <v>4.88</v>
      </c>
      <c r="E308">
        <v>4.88</v>
      </c>
      <c r="F308">
        <v>4.87</v>
      </c>
      <c r="G308">
        <v>-0.2</v>
      </c>
      <c r="H308">
        <v>4.87</v>
      </c>
      <c r="I308">
        <v>4.93</v>
      </c>
      <c r="J308">
        <v>4.8600000000000003</v>
      </c>
      <c r="K308" s="2">
        <v>3651581.38</v>
      </c>
      <c r="L308" s="3">
        <v>747752</v>
      </c>
      <c r="M308" s="3">
        <v>208</v>
      </c>
      <c r="N308" s="3">
        <v>709</v>
      </c>
    </row>
    <row r="309" spans="1:14" x14ac:dyDescent="0.25">
      <c r="A309" s="4" t="str">
        <f t="shared" si="4"/>
        <v>تفاصيل إضافية للشركة</v>
      </c>
      <c r="B309" t="s">
        <v>232</v>
      </c>
      <c r="K309" s="2"/>
      <c r="L309" s="3"/>
      <c r="M309" s="3"/>
      <c r="N309" s="3"/>
    </row>
    <row r="310" spans="1:14" x14ac:dyDescent="0.25">
      <c r="A310" s="4" t="str">
        <f t="shared" si="4"/>
        <v>فوري لتكنولوجيا البنوك والمدفوعات الالكترونية</v>
      </c>
      <c r="B310" t="s">
        <v>421</v>
      </c>
      <c r="C310" t="s">
        <v>59</v>
      </c>
      <c r="D310">
        <v>18.739999999999998</v>
      </c>
      <c r="E310">
        <v>18.739999999999998</v>
      </c>
      <c r="F310">
        <v>18.89</v>
      </c>
      <c r="G310">
        <v>0.8</v>
      </c>
      <c r="H310">
        <v>18.89</v>
      </c>
      <c r="I310">
        <v>19.07</v>
      </c>
      <c r="J310">
        <v>18.62</v>
      </c>
      <c r="K310" s="2">
        <v>219877096.91999999</v>
      </c>
      <c r="L310" s="3">
        <v>11674583</v>
      </c>
      <c r="M310" s="3">
        <v>4301</v>
      </c>
      <c r="N310" s="3">
        <v>64349</v>
      </c>
    </row>
    <row r="311" spans="1:14" x14ac:dyDescent="0.25">
      <c r="A311" s="4" t="str">
        <f t="shared" si="4"/>
        <v>تفاصيل إضافية للشركة</v>
      </c>
      <c r="B311" t="s">
        <v>233</v>
      </c>
      <c r="K311" s="2"/>
      <c r="L311" s="3"/>
      <c r="M311" s="3"/>
      <c r="N311" s="3"/>
    </row>
    <row r="312" spans="1:14" x14ac:dyDescent="0.25">
      <c r="A312" s="4" t="str">
        <f t="shared" si="4"/>
        <v>سبيد ميديكال</v>
      </c>
      <c r="B312" t="s">
        <v>421</v>
      </c>
      <c r="C312" t="s">
        <v>51</v>
      </c>
      <c r="D312">
        <v>0.40500000000000003</v>
      </c>
      <c r="E312">
        <v>0.40500000000000003</v>
      </c>
      <c r="F312">
        <v>0.41799999999999998</v>
      </c>
      <c r="G312">
        <v>3.21</v>
      </c>
      <c r="H312">
        <v>0.41799999999999998</v>
      </c>
      <c r="I312">
        <v>0.42199999999999999</v>
      </c>
      <c r="J312">
        <v>0.40600000000000003</v>
      </c>
      <c r="K312" s="2">
        <v>13527026.35</v>
      </c>
      <c r="L312" s="3">
        <v>32641691</v>
      </c>
      <c r="M312" s="3">
        <v>375</v>
      </c>
      <c r="N312" s="3">
        <v>695</v>
      </c>
    </row>
    <row r="313" spans="1:14" x14ac:dyDescent="0.25">
      <c r="A313" s="4" t="str">
        <f t="shared" si="4"/>
        <v>تفاصيل إضافية للشركة</v>
      </c>
      <c r="B313" t="s">
        <v>4</v>
      </c>
      <c r="K313" s="2"/>
      <c r="L313" s="3"/>
      <c r="M313" s="3"/>
      <c r="N313" s="3"/>
    </row>
    <row r="314" spans="1:14" x14ac:dyDescent="0.25">
      <c r="A314" s="4" t="str">
        <f t="shared" si="4"/>
        <v>وثائق صندوق استثمار أودن للاستثمار في الاسهم المصرية -كسب</v>
      </c>
      <c r="B314" t="s">
        <v>421</v>
      </c>
      <c r="C314" t="s">
        <v>44</v>
      </c>
      <c r="D314">
        <v>3.94</v>
      </c>
      <c r="E314">
        <v>3.94</v>
      </c>
      <c r="F314">
        <v>3.91</v>
      </c>
      <c r="G314">
        <v>-0.76</v>
      </c>
      <c r="H314">
        <v>3.91</v>
      </c>
      <c r="I314">
        <v>3.99</v>
      </c>
      <c r="J314">
        <v>3.86</v>
      </c>
      <c r="K314" s="2">
        <v>1211010.3600000001</v>
      </c>
      <c r="L314" s="3">
        <v>309673</v>
      </c>
      <c r="M314" s="3">
        <v>118</v>
      </c>
      <c r="N314" s="3">
        <v>79</v>
      </c>
    </row>
    <row r="315" spans="1:14" x14ac:dyDescent="0.25">
      <c r="A315" s="4" t="str">
        <f t="shared" si="4"/>
        <v>تفاصيل إضافية للشركة</v>
      </c>
      <c r="B315" t="s">
        <v>234</v>
      </c>
      <c r="K315" s="2"/>
      <c r="L315" s="3"/>
      <c r="M315" s="3"/>
      <c r="N315" s="3"/>
    </row>
    <row r="316" spans="1:14" x14ac:dyDescent="0.25">
      <c r="A316" s="4" t="str">
        <f t="shared" si="4"/>
        <v>وثائق شركة صندوق استثمار المصريين للاستثمار العقارى</v>
      </c>
      <c r="B316" t="s">
        <v>421</v>
      </c>
      <c r="C316" t="s">
        <v>44</v>
      </c>
      <c r="D316">
        <v>15.09</v>
      </c>
      <c r="E316">
        <v>15.09</v>
      </c>
      <c r="F316">
        <v>14.77</v>
      </c>
      <c r="G316">
        <v>-2.12</v>
      </c>
      <c r="H316">
        <v>14.7</v>
      </c>
      <c r="I316">
        <v>15.3</v>
      </c>
      <c r="J316">
        <v>14.26</v>
      </c>
      <c r="K316" s="2">
        <v>565349.24</v>
      </c>
      <c r="L316" s="3">
        <v>38408</v>
      </c>
      <c r="M316" s="3">
        <v>46</v>
      </c>
      <c r="N316" s="3">
        <v>266</v>
      </c>
    </row>
    <row r="317" spans="1:14" x14ac:dyDescent="0.25">
      <c r="A317" s="4" t="str">
        <f t="shared" si="4"/>
        <v>تفاصيل إضافية للشركة</v>
      </c>
      <c r="B317" t="s">
        <v>235</v>
      </c>
      <c r="K317" s="2"/>
      <c r="L317" s="3"/>
      <c r="M317" s="3"/>
      <c r="N317" s="3"/>
    </row>
    <row r="318" spans="1:14" x14ac:dyDescent="0.25">
      <c r="A318" s="4" t="str">
        <f t="shared" si="4"/>
        <v>Taaleem Management Services تعليم لخدمات الإدارة</v>
      </c>
      <c r="B318" t="s">
        <v>421</v>
      </c>
      <c r="C318" t="s">
        <v>77</v>
      </c>
      <c r="D318">
        <v>16.12</v>
      </c>
      <c r="E318">
        <v>16.12</v>
      </c>
      <c r="F318">
        <v>16.21</v>
      </c>
      <c r="G318">
        <v>0.56000000000000005</v>
      </c>
      <c r="H318">
        <v>16.21</v>
      </c>
      <c r="I318">
        <v>16.53</v>
      </c>
      <c r="J318">
        <v>16.21</v>
      </c>
      <c r="K318" s="2">
        <v>7230980.4500000002</v>
      </c>
      <c r="L318" s="3">
        <v>440567</v>
      </c>
      <c r="M318" s="3">
        <v>281</v>
      </c>
      <c r="N318" s="3">
        <v>11899</v>
      </c>
    </row>
    <row r="319" spans="1:14" x14ac:dyDescent="0.25">
      <c r="A319" s="4" t="str">
        <f t="shared" si="4"/>
        <v>تفاصيل إضافية للشركة</v>
      </c>
      <c r="B319" t="s">
        <v>236</v>
      </c>
      <c r="K319" s="2"/>
      <c r="L319" s="3"/>
      <c r="M319" s="3"/>
      <c r="N319" s="3"/>
    </row>
    <row r="320" spans="1:14" x14ac:dyDescent="0.25">
      <c r="A320" s="4" t="str">
        <f t="shared" si="4"/>
        <v>نهر الخير للتنمية والأستثمار الزراعى والخدمات البيئية</v>
      </c>
      <c r="B320" t="s">
        <v>421</v>
      </c>
      <c r="C320" t="s">
        <v>48</v>
      </c>
      <c r="D320">
        <v>0.34899999999999998</v>
      </c>
      <c r="E320">
        <v>0.34899999999999998</v>
      </c>
      <c r="F320">
        <v>0.34699999999999998</v>
      </c>
      <c r="G320">
        <v>-0.56999999999999995</v>
      </c>
      <c r="H320">
        <v>0.34699999999999998</v>
      </c>
      <c r="I320">
        <v>0.35299999999999998</v>
      </c>
      <c r="J320">
        <v>0.34699999999999998</v>
      </c>
      <c r="K320" s="2">
        <v>14129435.640000001</v>
      </c>
      <c r="L320" s="3">
        <v>40405948</v>
      </c>
      <c r="M320" s="3">
        <v>562</v>
      </c>
      <c r="N320" s="3">
        <v>694</v>
      </c>
    </row>
    <row r="321" spans="1:14" x14ac:dyDescent="0.25">
      <c r="A321" s="4" t="str">
        <f t="shared" si="4"/>
        <v>تفاصيل إضافية للشركة</v>
      </c>
      <c r="B321" t="s">
        <v>124</v>
      </c>
      <c r="K321" s="2"/>
      <c r="L321" s="3"/>
      <c r="M321" s="3"/>
      <c r="N321" s="3"/>
    </row>
    <row r="322" spans="1:14" x14ac:dyDescent="0.25">
      <c r="A322" s="4" t="str">
        <f t="shared" ref="A322:A385" si="5">B323</f>
        <v>بايونيرز بروبرتيز للتنمية العمرانية بي ار اي جروب</v>
      </c>
      <c r="B322" t="s">
        <v>421</v>
      </c>
      <c r="C322" t="s">
        <v>40</v>
      </c>
      <c r="D322">
        <v>6.67</v>
      </c>
      <c r="E322">
        <v>6.67</v>
      </c>
      <c r="F322">
        <v>7.82</v>
      </c>
      <c r="G322">
        <v>17.239999999999998</v>
      </c>
      <c r="H322">
        <v>7.82</v>
      </c>
      <c r="I322">
        <v>8</v>
      </c>
      <c r="J322">
        <v>6.6</v>
      </c>
      <c r="K322" s="2">
        <v>195573607.84</v>
      </c>
      <c r="L322" s="3">
        <v>25878850</v>
      </c>
      <c r="M322" s="3">
        <v>2474</v>
      </c>
      <c r="N322" s="3">
        <v>8189</v>
      </c>
    </row>
    <row r="323" spans="1:14" x14ac:dyDescent="0.25">
      <c r="A323" s="4" t="str">
        <f t="shared" si="5"/>
        <v>تفاصيل إضافية للشركة</v>
      </c>
      <c r="B323" t="s">
        <v>125</v>
      </c>
      <c r="K323" s="2"/>
      <c r="L323" s="3"/>
      <c r="M323" s="3"/>
      <c r="N323" s="3"/>
    </row>
    <row r="324" spans="1:14" x14ac:dyDescent="0.25">
      <c r="A324" s="4" t="str">
        <f t="shared" si="5"/>
        <v>جدوى للتنمية الصناعية</v>
      </c>
      <c r="B324" t="s">
        <v>421</v>
      </c>
      <c r="C324" t="s">
        <v>46</v>
      </c>
      <c r="D324">
        <v>0.79500000000000004</v>
      </c>
      <c r="E324">
        <v>0.79500000000000004</v>
      </c>
      <c r="F324">
        <v>0.81</v>
      </c>
      <c r="G324">
        <v>1.89</v>
      </c>
      <c r="H324">
        <v>0.81</v>
      </c>
      <c r="I324">
        <v>0.81699999999999995</v>
      </c>
      <c r="J324">
        <v>0.79500000000000004</v>
      </c>
      <c r="K324" s="2">
        <v>20508433.09</v>
      </c>
      <c r="L324" s="3">
        <v>25333345</v>
      </c>
      <c r="M324" s="3">
        <v>645</v>
      </c>
      <c r="N324" s="3">
        <v>4367</v>
      </c>
    </row>
    <row r="325" spans="1:14" x14ac:dyDescent="0.25">
      <c r="A325" s="4" t="str">
        <f t="shared" si="5"/>
        <v>تفاصيل إضافية للشركة</v>
      </c>
      <c r="B325" t="s">
        <v>126</v>
      </c>
      <c r="K325" s="2"/>
      <c r="L325" s="3"/>
      <c r="M325" s="3"/>
      <c r="N325" s="3"/>
    </row>
    <row r="326" spans="1:14" x14ac:dyDescent="0.25">
      <c r="A326" s="4" t="str">
        <f t="shared" si="5"/>
        <v>مرسيليا المصرية الخليجية للاستثمار العقارى</v>
      </c>
      <c r="B326" t="s">
        <v>421</v>
      </c>
      <c r="C326" t="s">
        <v>40</v>
      </c>
      <c r="D326">
        <v>5.79</v>
      </c>
      <c r="E326">
        <v>5.79</v>
      </c>
      <c r="F326">
        <v>6.25</v>
      </c>
      <c r="G326">
        <v>7.94</v>
      </c>
      <c r="H326">
        <v>6.25</v>
      </c>
      <c r="I326">
        <v>6.3</v>
      </c>
      <c r="J326">
        <v>5.82</v>
      </c>
      <c r="K326" s="2">
        <v>23033314.579999998</v>
      </c>
      <c r="L326" s="3">
        <v>3763365</v>
      </c>
      <c r="M326" s="3">
        <v>630</v>
      </c>
      <c r="N326" s="3">
        <v>1298</v>
      </c>
    </row>
    <row r="327" spans="1:14" x14ac:dyDescent="0.25">
      <c r="A327" s="4" t="str">
        <f t="shared" si="5"/>
        <v>تفاصيل إضافية للشركة</v>
      </c>
      <c r="B327" t="s">
        <v>65</v>
      </c>
      <c r="K327" s="2"/>
      <c r="L327" s="3"/>
      <c r="M327" s="3"/>
      <c r="N327" s="3"/>
    </row>
    <row r="328" spans="1:14" x14ac:dyDescent="0.25">
      <c r="A328" s="4" t="str">
        <f t="shared" si="5"/>
        <v>العامة لاستصلاح الاراضي و التنمية و التعمير</v>
      </c>
      <c r="B328" t="s">
        <v>421</v>
      </c>
      <c r="C328" t="s">
        <v>71</v>
      </c>
      <c r="D328">
        <v>205.05</v>
      </c>
      <c r="E328">
        <v>205.05</v>
      </c>
      <c r="F328">
        <v>205.78</v>
      </c>
      <c r="G328">
        <v>0.36</v>
      </c>
      <c r="H328">
        <v>205.78</v>
      </c>
      <c r="I328">
        <v>208.99</v>
      </c>
      <c r="J328">
        <v>205.11</v>
      </c>
      <c r="K328" s="2">
        <v>2242050.31</v>
      </c>
      <c r="L328" s="3">
        <v>10871</v>
      </c>
      <c r="M328" s="3">
        <v>152</v>
      </c>
      <c r="N328" s="3">
        <v>1340</v>
      </c>
    </row>
    <row r="329" spans="1:14" x14ac:dyDescent="0.25">
      <c r="A329" s="4" t="str">
        <f t="shared" si="5"/>
        <v>تفاصيل إضافية للشركة</v>
      </c>
      <c r="B329" t="s">
        <v>128</v>
      </c>
      <c r="K329" s="2"/>
      <c r="L329" s="3"/>
      <c r="M329" s="3"/>
      <c r="N329" s="3"/>
    </row>
    <row r="330" spans="1:14" x14ac:dyDescent="0.25">
      <c r="A330" s="4" t="str">
        <f t="shared" si="5"/>
        <v>وادي كوم امبو لاستصلاح الاراضي</v>
      </c>
      <c r="B330" t="s">
        <v>421</v>
      </c>
      <c r="C330" t="s">
        <v>71</v>
      </c>
      <c r="D330">
        <v>290.5</v>
      </c>
      <c r="E330">
        <v>290.5</v>
      </c>
      <c r="F330">
        <v>289.05</v>
      </c>
      <c r="G330">
        <v>-0.5</v>
      </c>
      <c r="H330">
        <v>289</v>
      </c>
      <c r="I330">
        <v>295</v>
      </c>
      <c r="J330">
        <v>289</v>
      </c>
      <c r="K330" s="2">
        <v>2023771.25</v>
      </c>
      <c r="L330" s="3">
        <v>6948</v>
      </c>
      <c r="M330" s="3">
        <v>128</v>
      </c>
      <c r="N330" s="3">
        <v>1619</v>
      </c>
    </row>
    <row r="331" spans="1:14" x14ac:dyDescent="0.25">
      <c r="A331" s="4" t="str">
        <f t="shared" si="5"/>
        <v>تفاصيل إضافية للشركة</v>
      </c>
      <c r="B331" t="s">
        <v>129</v>
      </c>
      <c r="K331" s="2"/>
      <c r="L331" s="3"/>
      <c r="N331" s="3"/>
    </row>
    <row r="332" spans="1:14" x14ac:dyDescent="0.25">
      <c r="A332" s="4" t="str">
        <f t="shared" si="5"/>
        <v>ارابيا انفستمنتس هولدنج</v>
      </c>
      <c r="B332" t="s">
        <v>421</v>
      </c>
      <c r="C332" t="s">
        <v>44</v>
      </c>
      <c r="D332">
        <v>0.50800000000000001</v>
      </c>
      <c r="E332">
        <v>0.50800000000000001</v>
      </c>
      <c r="F332">
        <v>0.46899999999999997</v>
      </c>
      <c r="G332">
        <v>-7.68</v>
      </c>
      <c r="H332">
        <v>0.46899999999999997</v>
      </c>
      <c r="I332">
        <v>0.52900000000000003</v>
      </c>
      <c r="J332">
        <v>0.46700000000000003</v>
      </c>
      <c r="K332" s="2">
        <v>88771811.909999996</v>
      </c>
      <c r="L332" s="3">
        <v>180566271</v>
      </c>
      <c r="M332" s="3">
        <v>2469</v>
      </c>
      <c r="N332" s="3">
        <v>731</v>
      </c>
    </row>
    <row r="333" spans="1:14" x14ac:dyDescent="0.25">
      <c r="A333" s="4" t="str">
        <f t="shared" si="5"/>
        <v>تفاصيل إضافية للشركة</v>
      </c>
      <c r="B333" t="s">
        <v>131</v>
      </c>
      <c r="K333" s="2"/>
      <c r="L333" s="3"/>
      <c r="N333" s="3"/>
    </row>
    <row r="334" spans="1:14" x14ac:dyDescent="0.25">
      <c r="A334" s="4" t="str">
        <f t="shared" si="5"/>
        <v>المنصورة للدواجن</v>
      </c>
      <c r="B334" t="s">
        <v>421</v>
      </c>
      <c r="C334" t="s">
        <v>48</v>
      </c>
      <c r="D334">
        <v>2</v>
      </c>
      <c r="E334">
        <v>2</v>
      </c>
      <c r="F334">
        <v>1.95</v>
      </c>
      <c r="G334">
        <v>-2.5</v>
      </c>
      <c r="H334">
        <v>1.95</v>
      </c>
      <c r="I334">
        <v>2.04</v>
      </c>
      <c r="J334">
        <v>1.94</v>
      </c>
      <c r="K334" s="2">
        <v>350752968.45999998</v>
      </c>
      <c r="L334" s="3">
        <v>176081727</v>
      </c>
      <c r="M334" s="3">
        <v>4574</v>
      </c>
      <c r="N334" s="3">
        <v>1950</v>
      </c>
    </row>
    <row r="335" spans="1:14" x14ac:dyDescent="0.25">
      <c r="A335" s="4" t="str">
        <f t="shared" si="5"/>
        <v>تفاصيل إضافية للشركة</v>
      </c>
      <c r="B335" t="s">
        <v>7</v>
      </c>
      <c r="K335" s="2"/>
      <c r="L335" s="3"/>
      <c r="N335" s="3"/>
    </row>
    <row r="336" spans="1:14" x14ac:dyDescent="0.25">
      <c r="A336" s="4" t="str">
        <f t="shared" si="5"/>
        <v>الدوليه للمحاصيل الزراعيه</v>
      </c>
      <c r="B336" t="s">
        <v>421</v>
      </c>
      <c r="C336" t="s">
        <v>54</v>
      </c>
      <c r="D336">
        <v>19.510000000000002</v>
      </c>
      <c r="E336">
        <v>19.510000000000002</v>
      </c>
      <c r="F336">
        <v>19.37</v>
      </c>
      <c r="G336">
        <v>-0.72</v>
      </c>
      <c r="H336">
        <v>19.37</v>
      </c>
      <c r="I336">
        <v>19.600000000000001</v>
      </c>
      <c r="J336">
        <v>19.3</v>
      </c>
      <c r="K336" s="2">
        <v>2734879.24</v>
      </c>
      <c r="L336" s="3">
        <v>140778</v>
      </c>
      <c r="M336" s="3">
        <v>236</v>
      </c>
      <c r="N336" s="3">
        <v>9632</v>
      </c>
    </row>
    <row r="337" spans="1:14" x14ac:dyDescent="0.25">
      <c r="A337" s="4" t="str">
        <f t="shared" si="5"/>
        <v>تفاصيل إضافية للشركة</v>
      </c>
      <c r="B337" t="s">
        <v>132</v>
      </c>
      <c r="K337" s="2"/>
      <c r="L337" s="3"/>
      <c r="N337" s="3"/>
    </row>
    <row r="338" spans="1:14" x14ac:dyDescent="0.25">
      <c r="A338" s="4" t="str">
        <f t="shared" si="5"/>
        <v>الخليجية الكندية للاستثمار العقاري العربي</v>
      </c>
      <c r="B338" t="s">
        <v>421</v>
      </c>
      <c r="C338" t="s">
        <v>40</v>
      </c>
      <c r="D338">
        <v>2.4</v>
      </c>
      <c r="E338">
        <v>2.4</v>
      </c>
      <c r="F338">
        <v>2.52</v>
      </c>
      <c r="G338">
        <v>5</v>
      </c>
      <c r="H338">
        <v>2.52</v>
      </c>
      <c r="I338">
        <v>2.5499999999999998</v>
      </c>
      <c r="J338">
        <v>2.39</v>
      </c>
      <c r="K338" s="2">
        <v>25339222.09</v>
      </c>
      <c r="L338" s="3">
        <v>10193289</v>
      </c>
      <c r="M338" s="3">
        <v>506</v>
      </c>
      <c r="N338" s="3">
        <v>529</v>
      </c>
    </row>
    <row r="339" spans="1:14" x14ac:dyDescent="0.25">
      <c r="A339" s="4" t="str">
        <f t="shared" si="5"/>
        <v>تفاصيل إضافية للشركة</v>
      </c>
      <c r="B339" t="s">
        <v>133</v>
      </c>
      <c r="K339" s="2"/>
      <c r="L339" s="3"/>
      <c r="N339" s="3"/>
    </row>
    <row r="340" spans="1:14" x14ac:dyDescent="0.25">
      <c r="A340" s="4" t="str">
        <f t="shared" si="5"/>
        <v>العربيه وبولفارا للغزل والنسيج - يونيراب</v>
      </c>
      <c r="B340" t="s">
        <v>421</v>
      </c>
      <c r="C340" t="s">
        <v>88</v>
      </c>
      <c r="D340">
        <v>8.6</v>
      </c>
      <c r="E340">
        <v>8.6</v>
      </c>
      <c r="F340">
        <v>8.5299999999999994</v>
      </c>
      <c r="G340">
        <v>-0.81</v>
      </c>
      <c r="H340">
        <v>8.6</v>
      </c>
      <c r="I340">
        <v>8.66</v>
      </c>
      <c r="J340">
        <v>8.5</v>
      </c>
      <c r="K340" s="2">
        <v>1734798.47</v>
      </c>
      <c r="L340" s="3">
        <v>203512</v>
      </c>
      <c r="M340" s="3">
        <v>105</v>
      </c>
      <c r="N340" s="3">
        <v>799</v>
      </c>
    </row>
    <row r="341" spans="1:14" x14ac:dyDescent="0.25">
      <c r="A341" s="4" t="str">
        <f t="shared" si="5"/>
        <v>تفاصيل إضافية للشركة</v>
      </c>
      <c r="B341" t="s">
        <v>134</v>
      </c>
      <c r="K341" s="2"/>
      <c r="L341" s="3"/>
      <c r="N341" s="3"/>
    </row>
    <row r="342" spans="1:14" x14ac:dyDescent="0.25">
      <c r="A342" s="4" t="str">
        <f t="shared" si="5"/>
        <v>الصعيد العامة للمقاولات والاستثمار العقاري SCCD</v>
      </c>
      <c r="B342" t="s">
        <v>421</v>
      </c>
      <c r="C342" t="s">
        <v>40</v>
      </c>
      <c r="D342">
        <v>1.42</v>
      </c>
      <c r="E342">
        <v>1.42</v>
      </c>
      <c r="F342">
        <v>1.43</v>
      </c>
      <c r="G342">
        <v>0.7</v>
      </c>
      <c r="H342">
        <v>1.43</v>
      </c>
      <c r="I342">
        <v>1.46</v>
      </c>
      <c r="J342">
        <v>1.39</v>
      </c>
      <c r="K342" s="2">
        <v>17635206.239999998</v>
      </c>
      <c r="L342" s="3">
        <v>12358162</v>
      </c>
      <c r="M342" s="3">
        <v>510</v>
      </c>
      <c r="N342" s="3">
        <v>1037</v>
      </c>
    </row>
    <row r="343" spans="1:14" x14ac:dyDescent="0.25">
      <c r="A343" s="4" t="str">
        <f t="shared" si="5"/>
        <v>تفاصيل إضافية للشركة</v>
      </c>
      <c r="B343" t="s">
        <v>135</v>
      </c>
      <c r="K343" s="2"/>
      <c r="L343" s="3"/>
      <c r="M343" s="3"/>
      <c r="N343" s="3"/>
    </row>
    <row r="344" spans="1:14" x14ac:dyDescent="0.25">
      <c r="A344" s="4" t="str">
        <f t="shared" si="5"/>
        <v>المشروعات الصناعية والهندسية</v>
      </c>
      <c r="B344" t="s">
        <v>421</v>
      </c>
      <c r="C344" t="s">
        <v>71</v>
      </c>
      <c r="D344">
        <v>0.44600000000000001</v>
      </c>
      <c r="E344">
        <v>0.44600000000000001</v>
      </c>
      <c r="F344">
        <v>0.44700000000000001</v>
      </c>
      <c r="G344">
        <v>0.22</v>
      </c>
      <c r="H344">
        <v>0.44700000000000001</v>
      </c>
      <c r="I344">
        <v>0.45200000000000001</v>
      </c>
      <c r="J344">
        <v>0.44600000000000001</v>
      </c>
      <c r="K344" s="2">
        <v>7370880.7999999998</v>
      </c>
      <c r="L344" s="3">
        <v>16421460</v>
      </c>
      <c r="M344" s="3">
        <v>327</v>
      </c>
      <c r="N344" s="3">
        <v>652</v>
      </c>
    </row>
    <row r="345" spans="1:14" x14ac:dyDescent="0.25">
      <c r="A345" s="4" t="str">
        <f t="shared" si="5"/>
        <v>تفاصيل إضافية للشركة</v>
      </c>
      <c r="B345" t="s">
        <v>136</v>
      </c>
      <c r="K345" s="2"/>
      <c r="L345" s="3"/>
      <c r="N345" s="3"/>
    </row>
    <row r="346" spans="1:14" x14ac:dyDescent="0.25">
      <c r="A346" s="4" t="str">
        <f t="shared" si="5"/>
        <v>كرستمارك للمقاولات والتطوير العقاري</v>
      </c>
      <c r="B346" t="s">
        <v>421</v>
      </c>
      <c r="C346" t="s">
        <v>71</v>
      </c>
      <c r="D346">
        <v>1.25</v>
      </c>
      <c r="E346">
        <v>1.25</v>
      </c>
      <c r="F346">
        <v>1.2</v>
      </c>
      <c r="G346">
        <v>-4</v>
      </c>
      <c r="H346">
        <v>1.2</v>
      </c>
      <c r="I346">
        <v>1.27</v>
      </c>
      <c r="J346">
        <v>1.18</v>
      </c>
      <c r="K346" s="2">
        <v>51515537.469999999</v>
      </c>
      <c r="L346" s="3">
        <v>42221941</v>
      </c>
      <c r="M346" s="3">
        <v>1091</v>
      </c>
      <c r="N346" s="3">
        <v>1347</v>
      </c>
    </row>
    <row r="347" spans="1:14" x14ac:dyDescent="0.25">
      <c r="A347" s="4" t="str">
        <f t="shared" si="5"/>
        <v>تفاصيل إضافية للشركة</v>
      </c>
      <c r="B347" t="s">
        <v>137</v>
      </c>
      <c r="K347" s="2"/>
      <c r="L347" s="3"/>
      <c r="M347" s="3"/>
      <c r="N347" s="3"/>
    </row>
    <row r="348" spans="1:14" x14ac:dyDescent="0.25">
      <c r="A348" s="4" t="str">
        <f t="shared" si="5"/>
        <v>بنك قناة السويس شركة مساهمة مصرية</v>
      </c>
      <c r="B348" t="s">
        <v>421</v>
      </c>
      <c r="C348" t="s">
        <v>49</v>
      </c>
      <c r="D348">
        <v>38</v>
      </c>
      <c r="E348">
        <v>38</v>
      </c>
      <c r="F348">
        <v>37.22</v>
      </c>
      <c r="G348">
        <v>-2.0499999999999998</v>
      </c>
      <c r="H348">
        <v>37.22</v>
      </c>
      <c r="I348">
        <v>38.22</v>
      </c>
      <c r="J348">
        <v>37.090000000000003</v>
      </c>
      <c r="K348" s="2">
        <v>12119788.310000001</v>
      </c>
      <c r="L348" s="3">
        <v>324617</v>
      </c>
      <c r="M348" s="3">
        <v>225</v>
      </c>
      <c r="N348" s="3">
        <v>37220</v>
      </c>
    </row>
    <row r="349" spans="1:14" x14ac:dyDescent="0.25">
      <c r="A349" s="4" t="str">
        <f t="shared" si="5"/>
        <v>تفاصيل إضافية للشركة</v>
      </c>
      <c r="B349" t="s">
        <v>138</v>
      </c>
      <c r="K349" s="2"/>
      <c r="L349" s="3"/>
      <c r="N349" s="3"/>
    </row>
    <row r="350" spans="1:14" x14ac:dyDescent="0.25">
      <c r="A350" s="4" t="str">
        <f t="shared" si="5"/>
        <v>بنك التعمير والاسكان</v>
      </c>
      <c r="B350" t="s">
        <v>421</v>
      </c>
      <c r="C350" t="s">
        <v>49</v>
      </c>
      <c r="D350">
        <v>146.79</v>
      </c>
      <c r="E350">
        <v>146.79</v>
      </c>
      <c r="F350">
        <v>148.11000000000001</v>
      </c>
      <c r="G350">
        <v>0.9</v>
      </c>
      <c r="H350">
        <v>148.11000000000001</v>
      </c>
      <c r="I350">
        <v>154</v>
      </c>
      <c r="J350">
        <v>146.19999999999999</v>
      </c>
      <c r="K350" s="2">
        <v>59812140.170000002</v>
      </c>
      <c r="L350" s="3">
        <v>397662</v>
      </c>
      <c r="M350" s="3">
        <v>1311</v>
      </c>
      <c r="N350" s="3">
        <v>78691</v>
      </c>
    </row>
    <row r="351" spans="1:14" x14ac:dyDescent="0.25">
      <c r="A351" s="4" t="str">
        <f t="shared" si="5"/>
        <v>تفاصيل إضافية للشركة</v>
      </c>
      <c r="B351" t="s">
        <v>139</v>
      </c>
      <c r="K351" s="2"/>
      <c r="L351" s="3"/>
      <c r="N351" s="3"/>
    </row>
    <row r="352" spans="1:14" x14ac:dyDescent="0.25">
      <c r="A352" s="4" t="str">
        <f t="shared" si="5"/>
        <v>المصرية للدواجن</v>
      </c>
      <c r="B352" t="s">
        <v>421</v>
      </c>
      <c r="C352" t="s">
        <v>48</v>
      </c>
      <c r="D352">
        <v>9.2799999999999994</v>
      </c>
      <c r="E352">
        <v>9.2799999999999994</v>
      </c>
      <c r="F352">
        <v>9.41</v>
      </c>
      <c r="G352">
        <v>1.4</v>
      </c>
      <c r="H352">
        <v>9.41</v>
      </c>
      <c r="I352">
        <v>9.8000000000000007</v>
      </c>
      <c r="J352">
        <v>9.2200000000000006</v>
      </c>
      <c r="K352" s="2">
        <v>39504655.130000003</v>
      </c>
      <c r="L352" s="3">
        <v>4141260</v>
      </c>
      <c r="M352" s="3">
        <v>1237</v>
      </c>
      <c r="N352" s="3">
        <v>401</v>
      </c>
    </row>
    <row r="353" spans="1:14" x14ac:dyDescent="0.25">
      <c r="A353" s="4" t="str">
        <f t="shared" si="5"/>
        <v>تفاصيل إضافية للشركة</v>
      </c>
      <c r="B353" t="s">
        <v>73</v>
      </c>
      <c r="K353" s="2"/>
      <c r="L353" s="3"/>
      <c r="M353" s="3"/>
      <c r="N353" s="3"/>
    </row>
    <row r="354" spans="1:14" x14ac:dyDescent="0.25">
      <c r="A354" s="4" t="str">
        <f t="shared" si="5"/>
        <v>مصر الوطنية للصلب - عتاقة</v>
      </c>
      <c r="B354" t="s">
        <v>421</v>
      </c>
      <c r="C354" t="s">
        <v>61</v>
      </c>
      <c r="D354">
        <v>9.41</v>
      </c>
      <c r="E354">
        <v>9.41</v>
      </c>
      <c r="F354">
        <v>9.7100000000000009</v>
      </c>
      <c r="G354">
        <v>3.19</v>
      </c>
      <c r="H354">
        <v>9.7100000000000009</v>
      </c>
      <c r="I354">
        <v>9.9</v>
      </c>
      <c r="J354">
        <v>9.41</v>
      </c>
      <c r="K354" s="2">
        <v>61983879.57</v>
      </c>
      <c r="L354" s="3">
        <v>6370487</v>
      </c>
      <c r="M354" s="3">
        <v>1478</v>
      </c>
      <c r="N354" s="3">
        <v>11652</v>
      </c>
    </row>
    <row r="355" spans="1:14" x14ac:dyDescent="0.25">
      <c r="A355" s="4" t="str">
        <f t="shared" si="5"/>
        <v>تفاصيل إضافية للشركة</v>
      </c>
      <c r="B355" t="s">
        <v>141</v>
      </c>
      <c r="K355" s="2"/>
      <c r="L355" s="3"/>
      <c r="N355" s="3"/>
    </row>
    <row r="356" spans="1:14" x14ac:dyDescent="0.25">
      <c r="A356" s="4" t="str">
        <f t="shared" si="5"/>
        <v>مجموعة النعيم العقارية القابضة</v>
      </c>
      <c r="B356" t="s">
        <v>421</v>
      </c>
      <c r="C356" t="s">
        <v>40</v>
      </c>
      <c r="D356">
        <v>10.23</v>
      </c>
      <c r="E356">
        <v>10.23</v>
      </c>
      <c r="F356">
        <v>12.27</v>
      </c>
      <c r="G356">
        <v>19.940000000000001</v>
      </c>
      <c r="H356">
        <v>12.27</v>
      </c>
      <c r="I356">
        <v>12.27</v>
      </c>
      <c r="J356">
        <v>10.26</v>
      </c>
      <c r="K356" s="2">
        <v>58826182.390000001</v>
      </c>
      <c r="L356" s="3">
        <v>5073036</v>
      </c>
      <c r="M356" s="3">
        <v>1715</v>
      </c>
      <c r="N356" s="3">
        <v>1567</v>
      </c>
    </row>
    <row r="357" spans="1:14" x14ac:dyDescent="0.25">
      <c r="A357" s="4" t="str">
        <f t="shared" si="5"/>
        <v>تفاصيل إضافية للشركة</v>
      </c>
      <c r="B357" t="s">
        <v>74</v>
      </c>
      <c r="K357" s="2"/>
      <c r="L357" s="3"/>
      <c r="N357" s="3"/>
    </row>
    <row r="358" spans="1:14" x14ac:dyDescent="0.25">
      <c r="A358" s="4" t="str">
        <f t="shared" si="5"/>
        <v>جى بى اى للنمو العمرانى</v>
      </c>
      <c r="B358" t="s">
        <v>421</v>
      </c>
      <c r="C358" t="s">
        <v>71</v>
      </c>
      <c r="D358">
        <v>1.1299999999999999</v>
      </c>
      <c r="E358">
        <v>1.1299999999999999</v>
      </c>
      <c r="F358">
        <v>1.19</v>
      </c>
      <c r="G358">
        <v>5.31</v>
      </c>
      <c r="H358">
        <v>1.19</v>
      </c>
      <c r="I358">
        <v>1.22</v>
      </c>
      <c r="J358">
        <v>1.1299999999999999</v>
      </c>
      <c r="K358" s="2">
        <v>62072969.210000001</v>
      </c>
      <c r="L358" s="3">
        <v>52687092</v>
      </c>
      <c r="M358" s="3">
        <v>1324</v>
      </c>
      <c r="N358" s="3">
        <v>1947</v>
      </c>
    </row>
    <row r="359" spans="1:14" x14ac:dyDescent="0.25">
      <c r="A359" s="4" t="str">
        <f t="shared" si="5"/>
        <v>تفاصيل إضافية للشركة</v>
      </c>
      <c r="B359" t="s">
        <v>75</v>
      </c>
      <c r="K359" s="2"/>
      <c r="L359" s="3"/>
      <c r="M359" s="3"/>
      <c r="N359" s="3"/>
    </row>
    <row r="360" spans="1:14" x14ac:dyDescent="0.25">
      <c r="A360" s="4" t="str">
        <f t="shared" si="5"/>
        <v>الاهرام للطباعة و التغليف</v>
      </c>
      <c r="B360" t="s">
        <v>421</v>
      </c>
      <c r="C360" t="s">
        <v>42</v>
      </c>
      <c r="D360">
        <v>11.86</v>
      </c>
      <c r="E360">
        <v>11.86</v>
      </c>
      <c r="F360">
        <v>12.34</v>
      </c>
      <c r="G360">
        <v>4.05</v>
      </c>
      <c r="H360">
        <v>12.3</v>
      </c>
      <c r="I360">
        <v>12.45</v>
      </c>
      <c r="J360">
        <v>11.75</v>
      </c>
      <c r="K360" s="2">
        <v>723811.24</v>
      </c>
      <c r="L360" s="3">
        <v>59388</v>
      </c>
      <c r="M360" s="3">
        <v>69</v>
      </c>
      <c r="N360" s="3">
        <v>103</v>
      </c>
    </row>
    <row r="361" spans="1:14" x14ac:dyDescent="0.25">
      <c r="A361" s="4" t="str">
        <f t="shared" si="5"/>
        <v>تفاصيل إضافية للشركة</v>
      </c>
      <c r="B361" t="s">
        <v>143</v>
      </c>
      <c r="K361" s="2"/>
      <c r="L361" s="3"/>
      <c r="N361" s="3"/>
    </row>
    <row r="362" spans="1:14" x14ac:dyDescent="0.25">
      <c r="A362" s="4" t="str">
        <f t="shared" si="5"/>
        <v>اسيك للتعدين - اسكوم</v>
      </c>
      <c r="B362" t="s">
        <v>421</v>
      </c>
      <c r="C362" t="s">
        <v>61</v>
      </c>
      <c r="D362">
        <v>60.8</v>
      </c>
      <c r="E362">
        <v>60.8</v>
      </c>
      <c r="F362">
        <v>58.73</v>
      </c>
      <c r="G362">
        <v>-3.4</v>
      </c>
      <c r="H362">
        <v>58.73</v>
      </c>
      <c r="I362">
        <v>61.26</v>
      </c>
      <c r="J362">
        <v>58.73</v>
      </c>
      <c r="K362" s="2">
        <v>42630949.299999997</v>
      </c>
      <c r="L362" s="3">
        <v>712974</v>
      </c>
      <c r="M362" s="3">
        <v>1057</v>
      </c>
      <c r="N362" s="3">
        <v>2937</v>
      </c>
    </row>
    <row r="363" spans="1:14" x14ac:dyDescent="0.25">
      <c r="A363" s="4" t="str">
        <f t="shared" si="5"/>
        <v>تفاصيل إضافية للشركة</v>
      </c>
      <c r="B363" t="s">
        <v>144</v>
      </c>
      <c r="K363" s="2"/>
      <c r="L363" s="3"/>
      <c r="M363" s="3"/>
      <c r="N363" s="3"/>
    </row>
    <row r="364" spans="1:14" x14ac:dyDescent="0.25">
      <c r="A364" s="4" t="str">
        <f t="shared" si="5"/>
        <v>قناة السويس لتوطين التكنولوجيا</v>
      </c>
      <c r="B364" t="s">
        <v>421</v>
      </c>
      <c r="C364" t="s">
        <v>77</v>
      </c>
      <c r="D364">
        <v>605.91999999999996</v>
      </c>
      <c r="E364">
        <v>605.91999999999996</v>
      </c>
      <c r="F364">
        <v>600.65</v>
      </c>
      <c r="G364">
        <v>-0.87</v>
      </c>
      <c r="H364">
        <v>594.02</v>
      </c>
      <c r="I364">
        <v>612</v>
      </c>
      <c r="J364">
        <v>565.25</v>
      </c>
      <c r="K364" s="2">
        <v>3854714.92</v>
      </c>
      <c r="L364" s="3">
        <v>6499</v>
      </c>
      <c r="M364" s="3">
        <v>309</v>
      </c>
      <c r="N364" s="3">
        <v>54599</v>
      </c>
    </row>
    <row r="365" spans="1:14" x14ac:dyDescent="0.25">
      <c r="A365" s="4" t="str">
        <f t="shared" si="5"/>
        <v>تفاصيل إضافية للشركة</v>
      </c>
      <c r="B365" t="s">
        <v>76</v>
      </c>
      <c r="K365" s="2"/>
      <c r="L365" s="3"/>
      <c r="M365" s="3"/>
      <c r="N365" s="3"/>
    </row>
    <row r="366" spans="1:14" x14ac:dyDescent="0.25">
      <c r="A366" s="4" t="str">
        <f t="shared" si="5"/>
        <v>راية القابضة للأستثمارات المالية</v>
      </c>
      <c r="B366" t="s">
        <v>421</v>
      </c>
      <c r="C366" t="s">
        <v>44</v>
      </c>
      <c r="D366">
        <v>7</v>
      </c>
      <c r="E366">
        <v>7</v>
      </c>
      <c r="F366">
        <v>7.01</v>
      </c>
      <c r="G366">
        <v>0.14000000000000001</v>
      </c>
      <c r="H366">
        <v>7.01</v>
      </c>
      <c r="I366">
        <v>7.11</v>
      </c>
      <c r="J366">
        <v>6.8</v>
      </c>
      <c r="K366" s="2">
        <v>88249223.269999996</v>
      </c>
      <c r="L366" s="3">
        <v>12634260</v>
      </c>
      <c r="M366" s="3">
        <v>2733</v>
      </c>
      <c r="N366" s="3">
        <v>30012</v>
      </c>
    </row>
    <row r="367" spans="1:14" x14ac:dyDescent="0.25">
      <c r="A367" s="4" t="str">
        <f t="shared" si="5"/>
        <v>تفاصيل إضافية للشركة</v>
      </c>
      <c r="B367" t="s">
        <v>78</v>
      </c>
      <c r="K367" s="2"/>
      <c r="L367" s="3"/>
      <c r="N367" s="3"/>
    </row>
    <row r="368" spans="1:14" x14ac:dyDescent="0.25">
      <c r="A368" s="4" t="str">
        <f t="shared" si="5"/>
        <v>مجموعة جى . أم . سى للاستثمارات الصناعية و التجارية المالية</v>
      </c>
      <c r="B368" t="s">
        <v>421</v>
      </c>
      <c r="C368" t="s">
        <v>54</v>
      </c>
      <c r="D368">
        <v>1.78</v>
      </c>
      <c r="E368">
        <v>1.78</v>
      </c>
      <c r="F368">
        <v>1.79</v>
      </c>
      <c r="G368">
        <v>0.56000000000000005</v>
      </c>
      <c r="H368">
        <v>1.77</v>
      </c>
      <c r="I368">
        <v>1.84</v>
      </c>
      <c r="J368">
        <v>1.74</v>
      </c>
      <c r="K368" s="2">
        <v>555000.09</v>
      </c>
      <c r="L368" s="3">
        <v>310898</v>
      </c>
      <c r="M368" s="3">
        <v>48</v>
      </c>
      <c r="N368" s="3">
        <v>74</v>
      </c>
    </row>
    <row r="369" spans="1:14" x14ac:dyDescent="0.25">
      <c r="A369" s="4" t="str">
        <f t="shared" si="5"/>
        <v>تفاصيل إضافية للشركة</v>
      </c>
      <c r="B369" t="s">
        <v>147</v>
      </c>
      <c r="K369" s="2"/>
      <c r="L369" s="3"/>
      <c r="M369" s="3"/>
      <c r="N369" s="3"/>
    </row>
    <row r="370" spans="1:14" x14ac:dyDescent="0.25">
      <c r="A370" s="4" t="str">
        <f t="shared" si="5"/>
        <v>العامة لصناعة الورق - راكتا</v>
      </c>
      <c r="B370" t="s">
        <v>421</v>
      </c>
      <c r="C370" t="s">
        <v>42</v>
      </c>
      <c r="D370">
        <v>22.59</v>
      </c>
      <c r="E370">
        <v>22.59</v>
      </c>
      <c r="F370">
        <v>23.03</v>
      </c>
      <c r="G370">
        <v>1.95</v>
      </c>
      <c r="H370">
        <v>23.25</v>
      </c>
      <c r="I370">
        <v>23.49</v>
      </c>
      <c r="J370">
        <v>22</v>
      </c>
      <c r="K370" s="2">
        <v>517743.66</v>
      </c>
      <c r="L370" s="3">
        <v>22616</v>
      </c>
      <c r="M370" s="3">
        <v>27</v>
      </c>
      <c r="N370" s="3">
        <v>691</v>
      </c>
    </row>
    <row r="371" spans="1:14" x14ac:dyDescent="0.25">
      <c r="A371" s="4" t="str">
        <f t="shared" si="5"/>
        <v>تفاصيل إضافية للشركة</v>
      </c>
      <c r="B371" t="s">
        <v>79</v>
      </c>
      <c r="K371" s="2"/>
      <c r="L371" s="3"/>
      <c r="N371" s="3"/>
    </row>
    <row r="372" spans="1:14" x14ac:dyDescent="0.25">
      <c r="A372" s="4" t="str">
        <f t="shared" si="5"/>
        <v>المصرية الدولية للصناعات الدوائية - ايبيكو</v>
      </c>
      <c r="B372" t="s">
        <v>421</v>
      </c>
      <c r="C372" t="s">
        <v>51</v>
      </c>
      <c r="D372">
        <v>84.02</v>
      </c>
      <c r="E372">
        <v>84.02</v>
      </c>
      <c r="F372">
        <v>84</v>
      </c>
      <c r="G372">
        <v>-0.02</v>
      </c>
      <c r="H372">
        <v>84</v>
      </c>
      <c r="I372">
        <v>84.5</v>
      </c>
      <c r="J372">
        <v>83.5</v>
      </c>
      <c r="K372" s="2">
        <v>12886326.85</v>
      </c>
      <c r="L372" s="3">
        <v>153689</v>
      </c>
      <c r="M372" s="3">
        <v>466</v>
      </c>
      <c r="N372" s="3">
        <v>14175</v>
      </c>
    </row>
    <row r="373" spans="1:14" x14ac:dyDescent="0.25">
      <c r="A373" s="4" t="str">
        <f t="shared" si="5"/>
        <v>تفاصيل إضافية للشركة</v>
      </c>
      <c r="B373" t="s">
        <v>150</v>
      </c>
      <c r="K373" s="2"/>
      <c r="L373" s="3"/>
      <c r="M373" s="3"/>
      <c r="N373" s="3"/>
    </row>
    <row r="374" spans="1:14" x14ac:dyDescent="0.25">
      <c r="A374" s="4" t="str">
        <f t="shared" si="5"/>
        <v>ابوقير للاسمدة والصناعات الكيماوية</v>
      </c>
      <c r="B374" t="s">
        <v>421</v>
      </c>
      <c r="C374" t="s">
        <v>61</v>
      </c>
      <c r="D374">
        <v>72.739999999999995</v>
      </c>
      <c r="E374">
        <v>72.739999999999995</v>
      </c>
      <c r="F374">
        <v>71.16</v>
      </c>
      <c r="G374">
        <v>-2.17</v>
      </c>
      <c r="H374">
        <v>71.16</v>
      </c>
      <c r="I374">
        <v>73.430000000000007</v>
      </c>
      <c r="J374">
        <v>71.06</v>
      </c>
      <c r="K374" s="2">
        <v>151040991.63999999</v>
      </c>
      <c r="L374" s="3">
        <v>2102567</v>
      </c>
      <c r="M374" s="3">
        <v>5677</v>
      </c>
      <c r="N374" s="3">
        <v>89795</v>
      </c>
    </row>
    <row r="375" spans="1:14" x14ac:dyDescent="0.25">
      <c r="A375" s="4" t="str">
        <f t="shared" si="5"/>
        <v>تفاصيل إضافية للشركة</v>
      </c>
      <c r="B375" t="s">
        <v>80</v>
      </c>
      <c r="K375" s="2"/>
      <c r="L375" s="3"/>
      <c r="M375" s="3"/>
      <c r="N375" s="3"/>
    </row>
    <row r="376" spans="1:14" x14ac:dyDescent="0.25">
      <c r="A376" s="4" t="str">
        <f t="shared" si="5"/>
        <v>جلاكسو سميثكلاين</v>
      </c>
      <c r="B376" t="s">
        <v>421</v>
      </c>
      <c r="C376" t="s">
        <v>51</v>
      </c>
      <c r="D376">
        <v>70.84</v>
      </c>
      <c r="E376">
        <v>70.84</v>
      </c>
      <c r="F376">
        <v>71.819999999999993</v>
      </c>
      <c r="G376">
        <v>1.38</v>
      </c>
      <c r="H376">
        <v>71.819999999999993</v>
      </c>
      <c r="I376">
        <v>72.25</v>
      </c>
      <c r="J376">
        <v>70</v>
      </c>
      <c r="K376" s="2">
        <v>2849739.45</v>
      </c>
      <c r="L376" s="3">
        <v>39903</v>
      </c>
      <c r="M376" s="3">
        <v>158</v>
      </c>
      <c r="N376" s="3">
        <v>5998</v>
      </c>
    </row>
    <row r="377" spans="1:14" x14ac:dyDescent="0.25">
      <c r="A377" s="4" t="str">
        <f t="shared" si="5"/>
        <v>تفاصيل إضافية للشركة</v>
      </c>
      <c r="B377" t="s">
        <v>29</v>
      </c>
      <c r="K377" s="2"/>
      <c r="L377" s="3"/>
      <c r="N377" s="3"/>
    </row>
    <row r="378" spans="1:14" x14ac:dyDescent="0.25">
      <c r="A378" s="4" t="str">
        <f t="shared" si="5"/>
        <v>الزيوت المستخلصة ومنتجاتها</v>
      </c>
      <c r="B378" t="s">
        <v>421</v>
      </c>
      <c r="C378" t="s">
        <v>48</v>
      </c>
      <c r="D378">
        <v>9.4</v>
      </c>
      <c r="E378">
        <v>9.4</v>
      </c>
      <c r="F378">
        <v>11.28</v>
      </c>
      <c r="G378">
        <v>20</v>
      </c>
      <c r="H378">
        <v>11.28</v>
      </c>
      <c r="I378">
        <v>11.28</v>
      </c>
      <c r="J378">
        <v>9.4700000000000006</v>
      </c>
      <c r="K378" s="2">
        <v>197242002.68000001</v>
      </c>
      <c r="L378" s="3">
        <v>18582643</v>
      </c>
      <c r="M378" s="3">
        <v>4200</v>
      </c>
      <c r="N378" s="3">
        <v>2256</v>
      </c>
    </row>
    <row r="379" spans="1:14" x14ac:dyDescent="0.25">
      <c r="A379" s="4" t="str">
        <f t="shared" si="5"/>
        <v>تفاصيل إضافية للشركة</v>
      </c>
      <c r="B379" t="s">
        <v>81</v>
      </c>
      <c r="K379" s="2"/>
      <c r="L379" s="3"/>
      <c r="N379" s="3"/>
    </row>
    <row r="380" spans="1:14" x14ac:dyDescent="0.25">
      <c r="A380" s="4" t="str">
        <f t="shared" si="5"/>
        <v>مصر لصناعة الكيماويات</v>
      </c>
      <c r="B380" t="s">
        <v>421</v>
      </c>
      <c r="C380" t="s">
        <v>61</v>
      </c>
      <c r="D380">
        <v>37</v>
      </c>
      <c r="E380">
        <v>37</v>
      </c>
      <c r="F380">
        <v>37.79</v>
      </c>
      <c r="G380">
        <v>2.14</v>
      </c>
      <c r="H380">
        <v>37.79</v>
      </c>
      <c r="I380">
        <v>37.9</v>
      </c>
      <c r="J380">
        <v>37.020000000000003</v>
      </c>
      <c r="K380" s="2">
        <v>7130593.2699999996</v>
      </c>
      <c r="L380" s="3">
        <v>190059</v>
      </c>
      <c r="M380" s="3">
        <v>347</v>
      </c>
      <c r="N380" s="3">
        <v>4145</v>
      </c>
    </row>
    <row r="381" spans="1:14" x14ac:dyDescent="0.25">
      <c r="A381" s="4" t="str">
        <f t="shared" si="5"/>
        <v>تفاصيل إضافية للشركة</v>
      </c>
      <c r="B381" t="s">
        <v>152</v>
      </c>
      <c r="K381" s="2"/>
      <c r="L381" s="3"/>
      <c r="M381" s="3"/>
      <c r="N381" s="3"/>
    </row>
    <row r="382" spans="1:14" x14ac:dyDescent="0.25">
      <c r="A382" s="4" t="str">
        <f t="shared" si="5"/>
        <v>ممفيس للادوية والصناعات الكيماوية</v>
      </c>
      <c r="B382" t="s">
        <v>421</v>
      </c>
      <c r="C382" t="s">
        <v>51</v>
      </c>
      <c r="D382">
        <v>219</v>
      </c>
      <c r="E382">
        <v>219</v>
      </c>
      <c r="F382">
        <v>220.97</v>
      </c>
      <c r="G382">
        <v>0.9</v>
      </c>
      <c r="H382">
        <v>220.97</v>
      </c>
      <c r="I382">
        <v>222</v>
      </c>
      <c r="J382">
        <v>217</v>
      </c>
      <c r="K382" s="2">
        <v>82515131.780000001</v>
      </c>
      <c r="L382" s="3">
        <v>375879</v>
      </c>
      <c r="M382" s="3">
        <v>462</v>
      </c>
      <c r="N382" s="3">
        <v>5027</v>
      </c>
    </row>
    <row r="383" spans="1:14" x14ac:dyDescent="0.25">
      <c r="A383" s="4" t="str">
        <f t="shared" si="5"/>
        <v>تفاصيل إضافية للشركة</v>
      </c>
      <c r="B383" t="s">
        <v>153</v>
      </c>
      <c r="K383" s="2"/>
      <c r="L383" s="3"/>
      <c r="M383" s="3"/>
      <c r="N383" s="3"/>
    </row>
    <row r="384" spans="1:14" x14ac:dyDescent="0.25">
      <c r="A384" s="4" t="str">
        <f t="shared" si="5"/>
        <v>الاسكندرية للادوية والصناعات الكيماوية</v>
      </c>
      <c r="B384" t="s">
        <v>421</v>
      </c>
      <c r="C384" t="s">
        <v>51</v>
      </c>
      <c r="D384" s="2">
        <v>1121.32</v>
      </c>
      <c r="E384" s="2">
        <v>1121.32</v>
      </c>
      <c r="F384" s="2">
        <v>1081.8399999999999</v>
      </c>
      <c r="G384">
        <v>-3.52</v>
      </c>
      <c r="H384" s="2">
        <v>1081.8399999999999</v>
      </c>
      <c r="I384" s="2">
        <v>1137.9000000000001</v>
      </c>
      <c r="J384" s="2">
        <v>1073</v>
      </c>
      <c r="K384" s="2">
        <v>1725123.56</v>
      </c>
      <c r="L384" s="3">
        <v>1556</v>
      </c>
      <c r="M384" s="3">
        <v>168</v>
      </c>
      <c r="N384" s="3">
        <v>5409</v>
      </c>
    </row>
    <row r="385" spans="1:14" x14ac:dyDescent="0.25">
      <c r="A385" s="4" t="str">
        <f t="shared" si="5"/>
        <v>تفاصيل إضافية للشركة</v>
      </c>
      <c r="B385" t="s">
        <v>154</v>
      </c>
      <c r="K385" s="2"/>
      <c r="L385" s="3"/>
      <c r="M385" s="3"/>
      <c r="N385" s="3"/>
    </row>
    <row r="386" spans="1:14" x14ac:dyDescent="0.25">
      <c r="A386" s="4" t="str">
        <f t="shared" ref="A386:A437" si="6">B387</f>
        <v>EAC المصرية العربية (ثمار) لتداول الاوراق المالية والسندات</v>
      </c>
      <c r="B386" t="s">
        <v>421</v>
      </c>
      <c r="C386" t="s">
        <v>44</v>
      </c>
      <c r="D386">
        <v>6.11</v>
      </c>
      <c r="E386">
        <v>6.11</v>
      </c>
      <c r="F386">
        <v>7.33</v>
      </c>
      <c r="G386">
        <v>19.97</v>
      </c>
      <c r="H386">
        <v>7.33</v>
      </c>
      <c r="I386">
        <v>7.33</v>
      </c>
      <c r="J386">
        <v>5.9</v>
      </c>
      <c r="K386" s="2">
        <v>29375707.350000001</v>
      </c>
      <c r="L386" s="3">
        <v>4223877</v>
      </c>
      <c r="M386" s="3">
        <v>1306</v>
      </c>
      <c r="N386" s="3">
        <v>733</v>
      </c>
    </row>
    <row r="387" spans="1:14" x14ac:dyDescent="0.25">
      <c r="A387" s="4" t="str">
        <f t="shared" si="6"/>
        <v>تفاصيل إضافية للشركة</v>
      </c>
      <c r="B387" t="s">
        <v>156</v>
      </c>
      <c r="K387" s="2"/>
      <c r="L387" s="3"/>
      <c r="M387" s="3"/>
      <c r="N387" s="3"/>
    </row>
    <row r="388" spans="1:14" x14ac:dyDescent="0.25">
      <c r="A388" s="4" t="str">
        <f t="shared" si="6"/>
        <v>النصر لتصنيع الحاصلات الزراعية</v>
      </c>
      <c r="B388" t="s">
        <v>421</v>
      </c>
      <c r="C388" t="s">
        <v>48</v>
      </c>
      <c r="D388">
        <v>37.74</v>
      </c>
      <c r="E388">
        <v>37.74</v>
      </c>
      <c r="F388">
        <v>39.450000000000003</v>
      </c>
      <c r="G388">
        <v>4.53</v>
      </c>
      <c r="H388">
        <v>38.61</v>
      </c>
      <c r="I388">
        <v>39.619999999999997</v>
      </c>
      <c r="J388">
        <v>37.5</v>
      </c>
      <c r="K388" s="2">
        <v>578597.14</v>
      </c>
      <c r="L388" s="3">
        <v>15010</v>
      </c>
      <c r="M388" s="3">
        <v>66</v>
      </c>
      <c r="N388" s="3">
        <v>310</v>
      </c>
    </row>
    <row r="389" spans="1:14" x14ac:dyDescent="0.25">
      <c r="A389" s="4" t="str">
        <f t="shared" si="6"/>
        <v>تفاصيل إضافية للشركة</v>
      </c>
      <c r="B389" t="s">
        <v>157</v>
      </c>
      <c r="K389" s="2"/>
      <c r="L389" s="3"/>
      <c r="M389" s="3"/>
      <c r="N389" s="3"/>
    </row>
    <row r="390" spans="1:14" x14ac:dyDescent="0.25">
      <c r="A390" s="4" t="str">
        <f t="shared" si="6"/>
        <v>جى بى كوربوريشن</v>
      </c>
      <c r="B390" t="s">
        <v>421</v>
      </c>
      <c r="C390" t="s">
        <v>46</v>
      </c>
      <c r="D390">
        <v>28.5</v>
      </c>
      <c r="E390">
        <v>28.5</v>
      </c>
      <c r="F390">
        <v>28.33</v>
      </c>
      <c r="G390">
        <v>-0.6</v>
      </c>
      <c r="H390">
        <v>28.33</v>
      </c>
      <c r="I390">
        <v>28.55</v>
      </c>
      <c r="J390">
        <v>27.77</v>
      </c>
      <c r="K390" s="2">
        <v>46990746.539999999</v>
      </c>
      <c r="L390" s="3">
        <v>1672093</v>
      </c>
      <c r="M390" s="3">
        <v>862</v>
      </c>
      <c r="N390" s="3">
        <v>30752</v>
      </c>
    </row>
    <row r="391" spans="1:14" x14ac:dyDescent="0.25">
      <c r="A391" s="4" t="str">
        <f t="shared" si="6"/>
        <v>تفاصيل إضافية للشركة</v>
      </c>
      <c r="B391" t="s">
        <v>158</v>
      </c>
      <c r="K391" s="2"/>
      <c r="L391" s="3"/>
      <c r="M391" s="3"/>
      <c r="N391" s="3"/>
    </row>
    <row r="392" spans="1:14" x14ac:dyDescent="0.25">
      <c r="A392" s="4" t="str">
        <f t="shared" si="6"/>
        <v>مجموعة طلعت مصطفى القابضة</v>
      </c>
      <c r="B392" t="s">
        <v>421</v>
      </c>
      <c r="C392" t="s">
        <v>40</v>
      </c>
      <c r="D392">
        <v>95.3</v>
      </c>
      <c r="E392">
        <v>95.3</v>
      </c>
      <c r="F392">
        <v>95.6</v>
      </c>
      <c r="G392">
        <v>0.31</v>
      </c>
      <c r="H392">
        <v>95.6</v>
      </c>
      <c r="I392">
        <v>95.69</v>
      </c>
      <c r="J392">
        <v>94.55</v>
      </c>
      <c r="K392" s="2">
        <v>470194114.11000001</v>
      </c>
      <c r="L392" s="3">
        <v>4947159</v>
      </c>
      <c r="M392" s="3">
        <v>2636</v>
      </c>
      <c r="N392" s="3">
        <v>196999</v>
      </c>
    </row>
    <row r="393" spans="1:14" x14ac:dyDescent="0.25">
      <c r="A393" s="4" t="str">
        <f t="shared" si="6"/>
        <v>تفاصيل إضافية للشركة</v>
      </c>
      <c r="B393" t="s">
        <v>160</v>
      </c>
      <c r="K393" s="2"/>
      <c r="L393" s="3"/>
      <c r="M393" s="3"/>
      <c r="N393" s="3"/>
    </row>
    <row r="394" spans="1:14" x14ac:dyDescent="0.25">
      <c r="A394" s="4" t="str">
        <f t="shared" si="6"/>
        <v>برايم القابضة للاستثمارات المالية</v>
      </c>
      <c r="B394" t="s">
        <v>421</v>
      </c>
      <c r="C394" t="s">
        <v>44</v>
      </c>
      <c r="D394">
        <v>2.77</v>
      </c>
      <c r="E394">
        <v>2.77</v>
      </c>
      <c r="F394">
        <v>2.85</v>
      </c>
      <c r="G394">
        <v>2.89</v>
      </c>
      <c r="H394">
        <v>2.85</v>
      </c>
      <c r="I394">
        <v>3.02</v>
      </c>
      <c r="J394">
        <v>2.78</v>
      </c>
      <c r="K394" s="2">
        <v>44973943.18</v>
      </c>
      <c r="L394" s="3">
        <v>15532584</v>
      </c>
      <c r="M394" s="3">
        <v>1356</v>
      </c>
      <c r="N394" s="3">
        <v>998</v>
      </c>
    </row>
    <row r="395" spans="1:14" x14ac:dyDescent="0.25">
      <c r="A395" s="4" t="str">
        <f t="shared" si="6"/>
        <v>تفاصيل إضافية للشركة</v>
      </c>
      <c r="B395" t="s">
        <v>161</v>
      </c>
      <c r="K395" s="2"/>
      <c r="L395" s="3"/>
      <c r="M395" s="3"/>
      <c r="N395" s="3"/>
    </row>
    <row r="396" spans="1:14" x14ac:dyDescent="0.25">
      <c r="A396" s="4" t="str">
        <f t="shared" si="6"/>
        <v>دلتا للطباعة والتغليف</v>
      </c>
      <c r="B396" t="s">
        <v>421</v>
      </c>
      <c r="C396" t="s">
        <v>46</v>
      </c>
      <c r="D396">
        <v>117.16</v>
      </c>
      <c r="E396">
        <v>117.16</v>
      </c>
      <c r="F396">
        <v>116.3</v>
      </c>
      <c r="G396">
        <v>-0.73</v>
      </c>
      <c r="H396">
        <v>116.2</v>
      </c>
      <c r="I396">
        <v>118.69</v>
      </c>
      <c r="J396">
        <v>116.2</v>
      </c>
      <c r="K396" s="2">
        <v>972815.02</v>
      </c>
      <c r="L396" s="3">
        <v>8316</v>
      </c>
      <c r="M396" s="3">
        <v>122</v>
      </c>
      <c r="N396" s="3">
        <v>651</v>
      </c>
    </row>
    <row r="397" spans="1:14" x14ac:dyDescent="0.25">
      <c r="A397" s="4" t="str">
        <f t="shared" si="6"/>
        <v>تفاصيل إضافية للشركة</v>
      </c>
      <c r="B397" t="s">
        <v>163</v>
      </c>
      <c r="K397" s="2"/>
      <c r="L397" s="3"/>
      <c r="M397" s="3"/>
      <c r="N397" s="3"/>
    </row>
    <row r="398" spans="1:14" x14ac:dyDescent="0.25">
      <c r="A398" s="4" t="str">
        <f t="shared" si="6"/>
        <v>اسباير كابيتال القابضة للاستثمارات المالية</v>
      </c>
      <c r="B398" t="s">
        <v>421</v>
      </c>
      <c r="C398" t="s">
        <v>44</v>
      </c>
      <c r="D398">
        <v>0.313</v>
      </c>
      <c r="E398">
        <v>0.313</v>
      </c>
      <c r="F398">
        <v>0.307</v>
      </c>
      <c r="G398">
        <v>-1.92</v>
      </c>
      <c r="H398">
        <v>0.307</v>
      </c>
      <c r="I398">
        <v>0.316</v>
      </c>
      <c r="J398">
        <v>0.30499999999999999</v>
      </c>
      <c r="K398" s="2">
        <v>27393871.34</v>
      </c>
      <c r="L398" s="3">
        <v>88645331</v>
      </c>
      <c r="M398" s="3">
        <v>985</v>
      </c>
      <c r="N398" s="3">
        <v>614</v>
      </c>
    </row>
    <row r="399" spans="1:14" x14ac:dyDescent="0.25">
      <c r="A399" s="4" t="str">
        <f t="shared" si="6"/>
        <v>تفاصيل إضافية للشركة</v>
      </c>
      <c r="B399" t="s">
        <v>164</v>
      </c>
      <c r="K399" s="2"/>
      <c r="L399" s="3"/>
      <c r="M399" s="3"/>
      <c r="N399" s="3"/>
    </row>
    <row r="400" spans="1:14" x14ac:dyDescent="0.25">
      <c r="A400" s="4" t="str">
        <f t="shared" si="6"/>
        <v>الاسكندرية للزيوت المعدنية</v>
      </c>
      <c r="B400" t="s">
        <v>421</v>
      </c>
      <c r="C400" t="s">
        <v>167</v>
      </c>
      <c r="D400">
        <v>7.81</v>
      </c>
      <c r="E400">
        <v>7.81</v>
      </c>
      <c r="F400">
        <v>7.85</v>
      </c>
      <c r="G400">
        <v>0.51</v>
      </c>
      <c r="H400">
        <v>7.85</v>
      </c>
      <c r="I400">
        <v>7.97</v>
      </c>
      <c r="J400">
        <v>7.81</v>
      </c>
      <c r="K400" s="2">
        <v>31812787.629999999</v>
      </c>
      <c r="L400" s="3">
        <v>4042362</v>
      </c>
      <c r="M400" s="3">
        <v>1177</v>
      </c>
      <c r="N400" s="3">
        <v>10138</v>
      </c>
    </row>
    <row r="401" spans="1:14" x14ac:dyDescent="0.25">
      <c r="A401" s="4" t="str">
        <f t="shared" si="6"/>
        <v>تفاصيل إضافية للشركة</v>
      </c>
      <c r="B401" t="s">
        <v>166</v>
      </c>
      <c r="K401" s="2"/>
      <c r="L401" s="3"/>
      <c r="M401" s="3"/>
      <c r="N401" s="3"/>
    </row>
    <row r="402" spans="1:14" x14ac:dyDescent="0.25">
      <c r="A402" s="4" t="str">
        <f t="shared" si="6"/>
        <v>مطاحن ومخابز شمال القاهرة</v>
      </c>
      <c r="B402" t="s">
        <v>421</v>
      </c>
      <c r="C402" t="s">
        <v>48</v>
      </c>
      <c r="D402">
        <v>146</v>
      </c>
      <c r="E402">
        <v>146</v>
      </c>
      <c r="F402">
        <v>141.82</v>
      </c>
      <c r="G402">
        <v>-2.86</v>
      </c>
      <c r="H402">
        <v>142</v>
      </c>
      <c r="I402">
        <v>147.69999999999999</v>
      </c>
      <c r="J402">
        <v>140.01</v>
      </c>
      <c r="K402" s="2">
        <v>13534356.390000001</v>
      </c>
      <c r="L402" s="3">
        <v>94799</v>
      </c>
      <c r="M402" s="3">
        <v>382</v>
      </c>
      <c r="N402" s="3">
        <v>1517</v>
      </c>
    </row>
    <row r="403" spans="1:14" x14ac:dyDescent="0.25">
      <c r="A403" s="4" t="str">
        <f t="shared" si="6"/>
        <v>تفاصيل إضافية للشركة</v>
      </c>
      <c r="B403" t="s">
        <v>83</v>
      </c>
      <c r="K403" s="2"/>
      <c r="L403" s="3"/>
      <c r="M403" s="3"/>
      <c r="N403" s="3"/>
    </row>
    <row r="404" spans="1:14" x14ac:dyDescent="0.25">
      <c r="A404" s="4" t="str">
        <f t="shared" si="6"/>
        <v>مطاحن ومخابز الاسكندرية</v>
      </c>
      <c r="B404" t="s">
        <v>421</v>
      </c>
      <c r="C404" t="s">
        <v>48</v>
      </c>
      <c r="D404">
        <v>71.349999999999994</v>
      </c>
      <c r="E404">
        <v>71.349999999999994</v>
      </c>
      <c r="F404">
        <v>71.23</v>
      </c>
      <c r="G404">
        <v>-0.17</v>
      </c>
      <c r="H404">
        <v>71.02</v>
      </c>
      <c r="I404">
        <v>72</v>
      </c>
      <c r="J404">
        <v>71</v>
      </c>
      <c r="K404" s="2">
        <v>833925.99</v>
      </c>
      <c r="L404" s="3">
        <v>11660</v>
      </c>
      <c r="M404" s="3">
        <v>84</v>
      </c>
      <c r="N404" s="3">
        <v>2343</v>
      </c>
    </row>
    <row r="405" spans="1:14" x14ac:dyDescent="0.25">
      <c r="A405" s="4" t="str">
        <f t="shared" si="6"/>
        <v>تفاصيل إضافية للشركة</v>
      </c>
      <c r="B405" t="s">
        <v>84</v>
      </c>
      <c r="K405" s="2"/>
      <c r="L405" s="3"/>
      <c r="M405" s="3"/>
      <c r="N405" s="3"/>
    </row>
    <row r="406" spans="1:14" x14ac:dyDescent="0.25">
      <c r="A406" s="4" t="str">
        <f t="shared" si="6"/>
        <v>مطاحن مصر العليا</v>
      </c>
      <c r="B406" t="s">
        <v>421</v>
      </c>
      <c r="C406" t="s">
        <v>48</v>
      </c>
      <c r="D406">
        <v>472.48</v>
      </c>
      <c r="E406">
        <v>472.48</v>
      </c>
      <c r="F406">
        <v>472.2</v>
      </c>
      <c r="G406">
        <v>-0.06</v>
      </c>
      <c r="H406">
        <v>473.5</v>
      </c>
      <c r="I406">
        <v>474.87</v>
      </c>
      <c r="J406">
        <v>468.11</v>
      </c>
      <c r="K406" s="2">
        <v>473098.35</v>
      </c>
      <c r="L406" s="3">
        <v>1003</v>
      </c>
      <c r="M406" s="3">
        <v>30</v>
      </c>
      <c r="N406" s="3">
        <v>3305</v>
      </c>
    </row>
    <row r="407" spans="1:14" x14ac:dyDescent="0.25">
      <c r="A407" s="4" t="str">
        <f t="shared" si="6"/>
        <v>تفاصيل إضافية للشركة</v>
      </c>
      <c r="B407" t="s">
        <v>21</v>
      </c>
      <c r="K407" s="2"/>
      <c r="L407" s="3"/>
      <c r="N407" s="3"/>
    </row>
    <row r="408" spans="1:14" x14ac:dyDescent="0.25">
      <c r="A408" s="4" t="str">
        <f t="shared" si="6"/>
        <v>مطاحن وسط وغرب الدلتا</v>
      </c>
      <c r="B408" t="s">
        <v>421</v>
      </c>
      <c r="C408" t="s">
        <v>48</v>
      </c>
      <c r="D408">
        <v>507.59</v>
      </c>
      <c r="E408">
        <v>507.59</v>
      </c>
      <c r="F408">
        <v>537.53</v>
      </c>
      <c r="G408">
        <v>5.9</v>
      </c>
      <c r="H408">
        <v>540.9</v>
      </c>
      <c r="I408">
        <v>544.99</v>
      </c>
      <c r="J408">
        <v>530.11</v>
      </c>
      <c r="K408" s="2">
        <v>467109.78</v>
      </c>
      <c r="L408" s="3">
        <v>867</v>
      </c>
      <c r="M408" s="3">
        <v>66</v>
      </c>
      <c r="N408" s="3">
        <v>4031</v>
      </c>
    </row>
    <row r="409" spans="1:14" x14ac:dyDescent="0.25">
      <c r="A409" s="4" t="str">
        <f t="shared" si="6"/>
        <v>تفاصيل إضافية للشركة</v>
      </c>
      <c r="B409" t="s">
        <v>85</v>
      </c>
      <c r="K409" s="2"/>
      <c r="L409" s="3"/>
      <c r="M409" s="3"/>
      <c r="N409" s="3"/>
    </row>
    <row r="410" spans="1:14" x14ac:dyDescent="0.25">
      <c r="A410" s="4" t="str">
        <f t="shared" si="6"/>
        <v>مطاحن مصر الوسطي</v>
      </c>
      <c r="B410" t="s">
        <v>421</v>
      </c>
      <c r="C410" t="s">
        <v>48</v>
      </c>
      <c r="D410">
        <v>103.48</v>
      </c>
      <c r="E410">
        <v>103.48</v>
      </c>
      <c r="F410">
        <v>103.68</v>
      </c>
      <c r="G410">
        <v>0.19</v>
      </c>
      <c r="H410">
        <v>103.68</v>
      </c>
      <c r="I410">
        <v>106.5</v>
      </c>
      <c r="J410">
        <v>103.51</v>
      </c>
      <c r="K410" s="2">
        <v>1844887.85</v>
      </c>
      <c r="L410" s="3">
        <v>17616</v>
      </c>
      <c r="M410" s="3">
        <v>193</v>
      </c>
      <c r="N410" s="3">
        <v>1526</v>
      </c>
    </row>
    <row r="411" spans="1:14" x14ac:dyDescent="0.25">
      <c r="A411" s="4" t="str">
        <f t="shared" si="6"/>
        <v>تفاصيل إضافية للشركة</v>
      </c>
      <c r="B411" t="s">
        <v>86</v>
      </c>
      <c r="K411" s="2"/>
      <c r="L411" s="3"/>
      <c r="M411" s="3"/>
      <c r="N411" s="3"/>
    </row>
    <row r="412" spans="1:14" x14ac:dyDescent="0.25">
      <c r="A412" s="4" t="str">
        <f t="shared" si="6"/>
        <v>القاهرة للزيوت والصابون</v>
      </c>
      <c r="B412" t="s">
        <v>421</v>
      </c>
      <c r="C412" t="s">
        <v>48</v>
      </c>
      <c r="D412">
        <v>1.58</v>
      </c>
      <c r="E412">
        <v>1.58</v>
      </c>
      <c r="F412">
        <v>1.62</v>
      </c>
      <c r="G412">
        <v>2.5299999999999998</v>
      </c>
      <c r="H412">
        <v>1.62</v>
      </c>
      <c r="I412">
        <v>1.66</v>
      </c>
      <c r="J412">
        <v>1.58</v>
      </c>
      <c r="K412" s="2">
        <v>90209926.430000007</v>
      </c>
      <c r="L412" s="3">
        <v>55538133</v>
      </c>
      <c r="M412" s="3">
        <v>1621</v>
      </c>
      <c r="N412" s="3">
        <v>1011</v>
      </c>
    </row>
    <row r="413" spans="1:14" x14ac:dyDescent="0.25">
      <c r="A413" s="4" t="str">
        <f t="shared" si="6"/>
        <v>تفاصيل إضافية للشركة</v>
      </c>
      <c r="B413" t="s">
        <v>170</v>
      </c>
      <c r="K413" s="2"/>
      <c r="L413" s="3"/>
      <c r="M413" s="3"/>
      <c r="N413" s="3"/>
    </row>
    <row r="414" spans="1:14" x14ac:dyDescent="0.25">
      <c r="A414" s="4" t="str">
        <f t="shared" si="6"/>
        <v>جولدن تكس للاصواف</v>
      </c>
      <c r="B414" t="s">
        <v>421</v>
      </c>
      <c r="C414" t="s">
        <v>88</v>
      </c>
      <c r="D414">
        <v>46.34</v>
      </c>
      <c r="E414">
        <v>46.34</v>
      </c>
      <c r="F414">
        <v>48.39</v>
      </c>
      <c r="G414">
        <v>4.42</v>
      </c>
      <c r="H414">
        <v>48.39</v>
      </c>
      <c r="I414">
        <v>52.99</v>
      </c>
      <c r="J414">
        <v>46.33</v>
      </c>
      <c r="K414" s="2">
        <v>24318049.48</v>
      </c>
      <c r="L414" s="3">
        <v>488893</v>
      </c>
      <c r="M414" s="3">
        <v>890</v>
      </c>
      <c r="N414" s="3">
        <v>691</v>
      </c>
    </row>
    <row r="415" spans="1:14" x14ac:dyDescent="0.25">
      <c r="A415" s="4" t="str">
        <f t="shared" si="6"/>
        <v>تفاصيل إضافية للشركة</v>
      </c>
      <c r="B415" t="s">
        <v>172</v>
      </c>
      <c r="K415" s="2"/>
      <c r="L415" s="3"/>
      <c r="N415" s="3"/>
    </row>
    <row r="416" spans="1:14" x14ac:dyDescent="0.25">
      <c r="A416" s="4" t="str">
        <f t="shared" si="6"/>
        <v>العربية لحليج الأقطان</v>
      </c>
      <c r="B416" t="s">
        <v>421</v>
      </c>
      <c r="C416" t="s">
        <v>88</v>
      </c>
      <c r="D416">
        <v>9.3699999999999992</v>
      </c>
      <c r="E416">
        <v>9.3699999999999992</v>
      </c>
      <c r="F416">
        <v>9.4499999999999993</v>
      </c>
      <c r="G416">
        <v>0.85</v>
      </c>
      <c r="H416">
        <v>9.4499999999999993</v>
      </c>
      <c r="I416">
        <v>9.48</v>
      </c>
      <c r="J416">
        <v>9.3699999999999992</v>
      </c>
      <c r="K416" s="2">
        <v>9285702.6899999995</v>
      </c>
      <c r="L416" s="3">
        <v>986839</v>
      </c>
      <c r="M416" s="3">
        <v>412</v>
      </c>
      <c r="N416" s="3">
        <v>2503</v>
      </c>
    </row>
    <row r="417" spans="1:14" x14ac:dyDescent="0.25">
      <c r="A417" s="4" t="str">
        <f t="shared" si="6"/>
        <v>تفاصيل إضافية للشركة</v>
      </c>
      <c r="B417" t="s">
        <v>87</v>
      </c>
      <c r="K417" s="2"/>
      <c r="L417" s="3"/>
      <c r="M417" s="3"/>
      <c r="N417" s="3"/>
    </row>
    <row r="418" spans="1:14" x14ac:dyDescent="0.25">
      <c r="A418" s="4" t="str">
        <f t="shared" si="6"/>
        <v>النساجون الشرقيون للسجاد</v>
      </c>
      <c r="B418" t="s">
        <v>421</v>
      </c>
      <c r="C418" t="s">
        <v>88</v>
      </c>
      <c r="D418">
        <v>23.13</v>
      </c>
      <c r="E418">
        <v>23.13</v>
      </c>
      <c r="F418">
        <v>23.18</v>
      </c>
      <c r="G418">
        <v>0.22</v>
      </c>
      <c r="H418">
        <v>23.18</v>
      </c>
      <c r="I418">
        <v>23.3</v>
      </c>
      <c r="J418">
        <v>23.01</v>
      </c>
      <c r="K418" s="2">
        <v>12629147.359999999</v>
      </c>
      <c r="L418" s="3">
        <v>546571</v>
      </c>
      <c r="M418" s="3">
        <v>474</v>
      </c>
      <c r="N418" s="3">
        <v>15417</v>
      </c>
    </row>
    <row r="419" spans="1:14" x14ac:dyDescent="0.25">
      <c r="A419" s="4" t="str">
        <f t="shared" si="6"/>
        <v>تفاصيل إضافية للشركة</v>
      </c>
      <c r="B419" t="s">
        <v>89</v>
      </c>
      <c r="K419" s="2"/>
      <c r="L419" s="3"/>
      <c r="M419" s="3"/>
      <c r="N419" s="3"/>
    </row>
    <row r="420" spans="1:14" x14ac:dyDescent="0.25">
      <c r="A420" s="4" t="str">
        <f t="shared" si="6"/>
        <v>المصريين للاسكان والتنمية والتعمير</v>
      </c>
      <c r="B420" t="s">
        <v>421</v>
      </c>
      <c r="C420" t="s">
        <v>40</v>
      </c>
      <c r="D420">
        <v>2.7</v>
      </c>
      <c r="E420">
        <v>2.7</v>
      </c>
      <c r="F420">
        <v>2.69</v>
      </c>
      <c r="G420">
        <v>-0.37</v>
      </c>
      <c r="H420">
        <v>2.69</v>
      </c>
      <c r="I420">
        <v>2.74</v>
      </c>
      <c r="J420">
        <v>2.69</v>
      </c>
      <c r="K420" s="2">
        <v>33156783.91</v>
      </c>
      <c r="L420" s="3">
        <v>12229061</v>
      </c>
      <c r="M420" s="3">
        <v>767</v>
      </c>
      <c r="N420" s="3">
        <v>1808</v>
      </c>
    </row>
    <row r="421" spans="1:14" x14ac:dyDescent="0.25">
      <c r="A421" s="4" t="str">
        <f t="shared" si="6"/>
        <v>تفاصيل إضافية للشركة</v>
      </c>
      <c r="B421" s="7" t="s">
        <v>174</v>
      </c>
      <c r="K421" s="2"/>
      <c r="L421" s="3"/>
      <c r="M421" s="3"/>
      <c r="N421" s="3"/>
    </row>
    <row r="422" spans="1:14" x14ac:dyDescent="0.25">
      <c r="A422" s="4" t="str">
        <f t="shared" si="6"/>
        <v>العربية للادوية والصناعات الكيماوية</v>
      </c>
      <c r="B422" t="s">
        <v>421</v>
      </c>
      <c r="C422" t="s">
        <v>51</v>
      </c>
      <c r="D422">
        <v>226.87</v>
      </c>
      <c r="E422">
        <v>226.87</v>
      </c>
      <c r="F422">
        <v>227.1</v>
      </c>
      <c r="G422">
        <v>0.1</v>
      </c>
      <c r="H422">
        <v>227.1</v>
      </c>
      <c r="I422">
        <v>229.5</v>
      </c>
      <c r="J422">
        <v>223.15</v>
      </c>
      <c r="K422" s="2">
        <v>8786435.7300000004</v>
      </c>
      <c r="L422" s="3">
        <v>39011</v>
      </c>
      <c r="M422" s="3">
        <v>235</v>
      </c>
      <c r="N422" s="3">
        <v>2725</v>
      </c>
    </row>
    <row r="423" spans="1:14" x14ac:dyDescent="0.25">
      <c r="A423" s="4" t="str">
        <f t="shared" si="6"/>
        <v>تفاصيل إضافية للشركة</v>
      </c>
      <c r="B423" t="s">
        <v>90</v>
      </c>
      <c r="K423" s="2"/>
      <c r="L423" s="3"/>
      <c r="M423" s="3"/>
      <c r="N423" s="3"/>
    </row>
    <row r="424" spans="1:14" x14ac:dyDescent="0.25">
      <c r="A424" s="4" t="str">
        <f t="shared" si="6"/>
        <v>مصر للزيوت و الصابون</v>
      </c>
      <c r="B424" t="s">
        <v>421</v>
      </c>
      <c r="C424" t="s">
        <v>48</v>
      </c>
      <c r="D424">
        <v>280.61</v>
      </c>
      <c r="E424">
        <v>280.61</v>
      </c>
      <c r="F424">
        <v>285.82</v>
      </c>
      <c r="G424">
        <v>1.86</v>
      </c>
      <c r="H424">
        <v>285.82</v>
      </c>
      <c r="I424">
        <v>305</v>
      </c>
      <c r="J424">
        <v>280</v>
      </c>
      <c r="K424" s="2">
        <v>29535896.210000001</v>
      </c>
      <c r="L424" s="3">
        <v>101917</v>
      </c>
      <c r="M424" s="3">
        <v>1145</v>
      </c>
      <c r="N424" s="3">
        <v>1715</v>
      </c>
    </row>
    <row r="425" spans="1:14" x14ac:dyDescent="0.25">
      <c r="A425" s="4" t="str">
        <f t="shared" si="6"/>
        <v>تفاصيل إضافية للشركة</v>
      </c>
      <c r="B425" t="s">
        <v>176</v>
      </c>
    </row>
    <row r="426" spans="1:14" x14ac:dyDescent="0.25">
      <c r="A426" s="4" t="str">
        <f t="shared" si="6"/>
        <v>القاهرة للادوية والصناعات الكيماوية</v>
      </c>
      <c r="B426" t="s">
        <v>421</v>
      </c>
      <c r="C426" t="s">
        <v>51</v>
      </c>
      <c r="D426">
        <v>362.32</v>
      </c>
      <c r="E426">
        <v>362.32</v>
      </c>
      <c r="F426">
        <v>362.52</v>
      </c>
      <c r="G426">
        <v>0.06</v>
      </c>
      <c r="H426">
        <v>362.52</v>
      </c>
      <c r="I426">
        <v>364.44</v>
      </c>
      <c r="J426">
        <v>362.28</v>
      </c>
      <c r="K426" s="2">
        <v>1554902.13</v>
      </c>
      <c r="L426" s="3">
        <v>4289</v>
      </c>
      <c r="M426" s="3">
        <v>68</v>
      </c>
      <c r="N426" s="3">
        <v>5414</v>
      </c>
    </row>
    <row r="427" spans="1:14" x14ac:dyDescent="0.25">
      <c r="A427" s="4" t="str">
        <f t="shared" si="6"/>
        <v>دولار أمريكي</v>
      </c>
      <c r="B427" t="s">
        <v>91</v>
      </c>
    </row>
    <row r="428" spans="1:14" x14ac:dyDescent="0.25">
      <c r="A428" s="4">
        <f t="shared" si="6"/>
        <v>0</v>
      </c>
      <c r="B428" t="s">
        <v>1149</v>
      </c>
      <c r="K428" s="2"/>
      <c r="L428" s="3"/>
      <c r="M428" s="3"/>
      <c r="N428" s="3"/>
    </row>
    <row r="429" spans="1:14" x14ac:dyDescent="0.25">
      <c r="A429" s="4">
        <f t="shared" si="6"/>
        <v>0</v>
      </c>
      <c r="F429" s="2"/>
      <c r="G429" s="3"/>
    </row>
    <row r="430" spans="1:14" x14ac:dyDescent="0.25">
      <c r="A430" s="4">
        <f t="shared" si="6"/>
        <v>0</v>
      </c>
      <c r="F430" s="2"/>
      <c r="G430" s="3"/>
    </row>
    <row r="431" spans="1:14" x14ac:dyDescent="0.25">
      <c r="A431" s="4">
        <f t="shared" si="6"/>
        <v>0</v>
      </c>
      <c r="F431" s="2"/>
      <c r="G431" s="3"/>
    </row>
    <row r="432" spans="1:14" x14ac:dyDescent="0.25">
      <c r="A432" s="4">
        <f t="shared" si="6"/>
        <v>0</v>
      </c>
      <c r="F432" s="2"/>
      <c r="G432" s="3"/>
    </row>
    <row r="433" spans="1:7" x14ac:dyDescent="0.25">
      <c r="A433" s="4">
        <f t="shared" si="6"/>
        <v>0</v>
      </c>
      <c r="F433" s="2"/>
      <c r="G433" s="3"/>
    </row>
    <row r="434" spans="1:7" x14ac:dyDescent="0.25">
      <c r="A434" s="4">
        <f t="shared" si="6"/>
        <v>0</v>
      </c>
      <c r="F434" s="2"/>
      <c r="G434" s="3"/>
    </row>
    <row r="435" spans="1:7" x14ac:dyDescent="0.25">
      <c r="A435" s="4">
        <f t="shared" si="6"/>
        <v>0</v>
      </c>
      <c r="F435" s="2"/>
      <c r="G435" s="3"/>
    </row>
    <row r="436" spans="1:7" x14ac:dyDescent="0.25">
      <c r="A436" s="4">
        <f t="shared" si="6"/>
        <v>0</v>
      </c>
      <c r="F436" s="2"/>
      <c r="G436" s="3"/>
    </row>
    <row r="437" spans="1:7" x14ac:dyDescent="0.25">
      <c r="A437" s="4">
        <f t="shared" si="6"/>
        <v>0</v>
      </c>
      <c r="F437" s="2"/>
      <c r="G437" s="3"/>
    </row>
    <row r="438" spans="1:7" x14ac:dyDescent="0.25">
      <c r="F438" s="2"/>
      <c r="G438" s="3"/>
    </row>
    <row r="439" spans="1:7" x14ac:dyDescent="0.25">
      <c r="F439" s="2"/>
      <c r="G439" s="3"/>
    </row>
    <row r="440" spans="1:7" x14ac:dyDescent="0.25">
      <c r="F440" s="2"/>
      <c r="G440" s="3"/>
    </row>
    <row r="441" spans="1:7" x14ac:dyDescent="0.25">
      <c r="F441" s="2"/>
      <c r="G441" s="3"/>
    </row>
    <row r="442" spans="1:7" x14ac:dyDescent="0.25">
      <c r="F442" s="2"/>
      <c r="G442" s="3"/>
    </row>
    <row r="443" spans="1:7" x14ac:dyDescent="0.25">
      <c r="F443" s="2"/>
      <c r="G443" s="3"/>
    </row>
    <row r="444" spans="1:7" x14ac:dyDescent="0.25">
      <c r="F444" s="2"/>
      <c r="G444" s="3"/>
    </row>
    <row r="445" spans="1:7" x14ac:dyDescent="0.25">
      <c r="F445" s="2"/>
      <c r="G445" s="3"/>
    </row>
  </sheetData>
  <autoFilter ref="A1:N426" xr:uid="{F3056D4B-3431-4138-8E7F-A7445F37FC9B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312A-6C28-4020-A7C1-1930BA5991FD}">
  <dimension ref="C2:J21"/>
  <sheetViews>
    <sheetView workbookViewId="0">
      <selection activeCell="H5" sqref="H5"/>
    </sheetView>
  </sheetViews>
  <sheetFormatPr defaultRowHeight="24" customHeight="1" x14ac:dyDescent="0.25"/>
  <cols>
    <col min="3" max="3" width="23.5703125" customWidth="1"/>
    <col min="4" max="4" width="9.5703125" bestFit="1" customWidth="1"/>
    <col min="5" max="5" width="8.42578125" bestFit="1" customWidth="1"/>
    <col min="6" max="6" width="9.28515625" bestFit="1" customWidth="1"/>
    <col min="7" max="7" width="11.42578125" bestFit="1" customWidth="1"/>
    <col min="8" max="8" width="8.85546875" bestFit="1" customWidth="1"/>
    <col min="9" max="9" width="8.7109375" bestFit="1" customWidth="1"/>
    <col min="10" max="10" width="24.7109375" customWidth="1"/>
  </cols>
  <sheetData>
    <row r="2" spans="3:10" ht="24" customHeight="1" x14ac:dyDescent="0.25">
      <c r="C2" s="22" t="s">
        <v>585</v>
      </c>
      <c r="D2" s="22" t="s">
        <v>31</v>
      </c>
      <c r="E2" s="22" t="s">
        <v>863</v>
      </c>
      <c r="F2" s="22" t="s">
        <v>33</v>
      </c>
      <c r="G2" s="22" t="s">
        <v>36</v>
      </c>
      <c r="H2" s="22" t="s">
        <v>1</v>
      </c>
      <c r="I2" s="22" t="s">
        <v>37</v>
      </c>
      <c r="J2" s="22" t="s">
        <v>38</v>
      </c>
    </row>
    <row r="3" spans="3:10" ht="24" customHeight="1" x14ac:dyDescent="0.25">
      <c r="C3" s="23" t="s">
        <v>585</v>
      </c>
      <c r="D3" s="23" t="s">
        <v>31</v>
      </c>
      <c r="E3" s="23" t="s">
        <v>863</v>
      </c>
      <c r="F3" s="23" t="s">
        <v>33</v>
      </c>
      <c r="G3" s="24" t="s">
        <v>36</v>
      </c>
      <c r="H3" s="25" t="s">
        <v>1</v>
      </c>
      <c r="I3" s="23" t="s">
        <v>37</v>
      </c>
      <c r="J3" s="23" t="s">
        <v>38</v>
      </c>
    </row>
    <row r="4" spans="3:10" ht="24" customHeight="1" x14ac:dyDescent="0.25">
      <c r="C4" s="26" t="s">
        <v>847</v>
      </c>
      <c r="D4" s="26">
        <v>1.35</v>
      </c>
      <c r="E4" s="26">
        <v>1.41</v>
      </c>
      <c r="F4" s="26">
        <v>4.4400000000000004</v>
      </c>
      <c r="G4" s="27">
        <v>444633.41</v>
      </c>
      <c r="H4" s="28">
        <v>316432</v>
      </c>
      <c r="I4" s="26">
        <v>59</v>
      </c>
      <c r="J4" s="26">
        <v>32</v>
      </c>
    </row>
    <row r="5" spans="3:10" ht="24" customHeight="1" x14ac:dyDescent="0.25">
      <c r="C5" s="23" t="s">
        <v>848</v>
      </c>
      <c r="D5" s="23">
        <v>4.51</v>
      </c>
      <c r="E5" s="23">
        <v>4.3899999999999997</v>
      </c>
      <c r="F5" s="23">
        <v>-2.66</v>
      </c>
      <c r="G5" s="24">
        <v>919510.59</v>
      </c>
      <c r="H5" s="25">
        <v>211057</v>
      </c>
      <c r="I5" s="23">
        <v>125</v>
      </c>
      <c r="J5" s="23">
        <v>88</v>
      </c>
    </row>
    <row r="6" spans="3:10" ht="24" customHeight="1" x14ac:dyDescent="0.25">
      <c r="C6" s="26" t="s">
        <v>841</v>
      </c>
      <c r="D6" s="26">
        <v>11.97</v>
      </c>
      <c r="E6" s="26">
        <v>12</v>
      </c>
      <c r="F6" s="26">
        <v>0.25</v>
      </c>
      <c r="G6" s="27">
        <v>931708.23</v>
      </c>
      <c r="H6" s="28">
        <v>77877</v>
      </c>
      <c r="I6" s="26">
        <v>100</v>
      </c>
      <c r="J6" s="26">
        <v>292</v>
      </c>
    </row>
    <row r="7" spans="3:10" ht="24" customHeight="1" x14ac:dyDescent="0.25">
      <c r="C7" s="23" t="s">
        <v>849</v>
      </c>
      <c r="D7" s="23">
        <v>2.84</v>
      </c>
      <c r="E7" s="23">
        <v>2.84</v>
      </c>
      <c r="F7" s="23">
        <v>0</v>
      </c>
      <c r="G7" s="24">
        <v>101452.21</v>
      </c>
      <c r="H7" s="25">
        <v>36255</v>
      </c>
      <c r="I7" s="23">
        <v>43</v>
      </c>
      <c r="J7" s="23">
        <v>57</v>
      </c>
    </row>
    <row r="8" spans="3:10" ht="24" customHeight="1" x14ac:dyDescent="0.25">
      <c r="C8" s="26" t="s">
        <v>850</v>
      </c>
      <c r="D8" s="26">
        <v>0.188</v>
      </c>
      <c r="E8" s="26">
        <v>0.187</v>
      </c>
      <c r="F8" s="26">
        <v>-0.53</v>
      </c>
      <c r="G8" s="27">
        <v>621126.32999999996</v>
      </c>
      <c r="H8" s="28">
        <v>3327164</v>
      </c>
      <c r="I8" s="28">
        <v>118</v>
      </c>
      <c r="J8" s="26">
        <v>61</v>
      </c>
    </row>
    <row r="9" spans="3:10" ht="24" customHeight="1" x14ac:dyDescent="0.25">
      <c r="C9" s="23" t="s">
        <v>851</v>
      </c>
      <c r="D9" s="23">
        <v>80.44</v>
      </c>
      <c r="E9" s="23">
        <v>80.180000000000007</v>
      </c>
      <c r="F9" s="23">
        <v>-0.32</v>
      </c>
      <c r="G9" s="24">
        <v>468058.33</v>
      </c>
      <c r="H9" s="25">
        <v>5805</v>
      </c>
      <c r="I9" s="25">
        <v>76</v>
      </c>
      <c r="J9" s="23">
        <v>241</v>
      </c>
    </row>
    <row r="10" spans="3:10" ht="24" customHeight="1" x14ac:dyDescent="0.25">
      <c r="C10" s="26" t="s">
        <v>852</v>
      </c>
      <c r="D10" s="26">
        <v>2.63</v>
      </c>
      <c r="E10" s="26">
        <v>2.59</v>
      </c>
      <c r="F10" s="26">
        <v>-1.52</v>
      </c>
      <c r="G10" s="27">
        <v>1284321.57</v>
      </c>
      <c r="H10" s="28">
        <v>491606</v>
      </c>
      <c r="I10" s="28">
        <v>98</v>
      </c>
      <c r="J10" s="26">
        <v>78</v>
      </c>
    </row>
    <row r="11" spans="3:10" ht="24" customHeight="1" x14ac:dyDescent="0.25">
      <c r="C11" s="23" t="s">
        <v>881</v>
      </c>
      <c r="D11" s="23">
        <v>7.9</v>
      </c>
      <c r="E11" s="23">
        <v>7.13</v>
      </c>
      <c r="F11" s="23">
        <v>-9.75</v>
      </c>
      <c r="G11" s="24">
        <v>57101913.130000003</v>
      </c>
      <c r="H11" s="25">
        <v>7932913</v>
      </c>
      <c r="I11" s="25">
        <v>3480</v>
      </c>
      <c r="J11" s="23">
        <v>411</v>
      </c>
    </row>
    <row r="12" spans="3:10" ht="24" customHeight="1" x14ac:dyDescent="0.25">
      <c r="C12" s="26" t="s">
        <v>854</v>
      </c>
      <c r="D12" s="26">
        <v>9.85</v>
      </c>
      <c r="E12" s="26">
        <v>10.83</v>
      </c>
      <c r="F12" s="26">
        <v>9.9499999999999993</v>
      </c>
      <c r="G12" s="27">
        <v>8179286.2699999996</v>
      </c>
      <c r="H12" s="28">
        <v>772469</v>
      </c>
      <c r="I12" s="26">
        <v>367</v>
      </c>
      <c r="J12" s="26">
        <v>173</v>
      </c>
    </row>
    <row r="13" spans="3:10" ht="24" customHeight="1" x14ac:dyDescent="0.25">
      <c r="C13" s="23" t="s">
        <v>855</v>
      </c>
      <c r="D13" s="23">
        <v>4.71</v>
      </c>
      <c r="E13" s="23">
        <v>4.7</v>
      </c>
      <c r="F13" s="23">
        <v>-0.21</v>
      </c>
      <c r="G13" s="24">
        <v>2345247.38</v>
      </c>
      <c r="H13" s="25">
        <v>483571</v>
      </c>
      <c r="I13" s="23">
        <v>172</v>
      </c>
      <c r="J13" s="23">
        <v>65</v>
      </c>
    </row>
    <row r="14" spans="3:10" ht="24" customHeight="1" x14ac:dyDescent="0.25">
      <c r="C14" s="26" t="s">
        <v>856</v>
      </c>
      <c r="D14" s="26">
        <v>0.42099999999999999</v>
      </c>
      <c r="E14" s="26">
        <v>0.433</v>
      </c>
      <c r="F14" s="26">
        <v>2.85</v>
      </c>
      <c r="G14" s="27">
        <v>8216814.3399999999</v>
      </c>
      <c r="H14" s="28">
        <v>19077129</v>
      </c>
      <c r="I14" s="28">
        <v>413</v>
      </c>
      <c r="J14" s="26">
        <v>217</v>
      </c>
    </row>
    <row r="15" spans="3:10" ht="24" customHeight="1" x14ac:dyDescent="0.25">
      <c r="C15" s="23" t="s">
        <v>857</v>
      </c>
      <c r="D15" s="23">
        <v>7.16</v>
      </c>
      <c r="E15" s="23">
        <v>7.1</v>
      </c>
      <c r="F15" s="23">
        <v>-0.84</v>
      </c>
      <c r="G15" s="24">
        <v>493956.59</v>
      </c>
      <c r="H15" s="25">
        <v>69398</v>
      </c>
      <c r="I15" s="23">
        <v>126</v>
      </c>
      <c r="J15" s="23">
        <v>182</v>
      </c>
    </row>
    <row r="16" spans="3:10" ht="24" customHeight="1" x14ac:dyDescent="0.25">
      <c r="C16" s="26" t="s">
        <v>858</v>
      </c>
      <c r="D16" s="26">
        <v>7.28</v>
      </c>
      <c r="E16" s="26">
        <v>7.26</v>
      </c>
      <c r="F16" s="26">
        <v>-0.27</v>
      </c>
      <c r="G16" s="27">
        <v>3461142.71</v>
      </c>
      <c r="H16" s="28">
        <v>475540</v>
      </c>
      <c r="I16" s="28">
        <v>246</v>
      </c>
      <c r="J16" s="26">
        <v>510</v>
      </c>
    </row>
    <row r="17" spans="3:10" ht="24" customHeight="1" x14ac:dyDescent="0.25">
      <c r="C17" s="23" t="s">
        <v>859</v>
      </c>
      <c r="D17" s="23">
        <v>9.8800000000000008</v>
      </c>
      <c r="E17" s="23">
        <v>9.77</v>
      </c>
      <c r="F17" s="23">
        <v>-1.1100000000000001</v>
      </c>
      <c r="G17" s="24">
        <v>203920.26</v>
      </c>
      <c r="H17" s="25">
        <v>20822</v>
      </c>
      <c r="I17" s="23">
        <v>81</v>
      </c>
      <c r="J17" s="23">
        <v>133</v>
      </c>
    </row>
    <row r="18" spans="3:10" ht="24" customHeight="1" x14ac:dyDescent="0.25">
      <c r="C18" s="26" t="s">
        <v>860</v>
      </c>
      <c r="D18" s="26">
        <v>1.17</v>
      </c>
      <c r="E18" s="26">
        <v>1.17</v>
      </c>
      <c r="F18" s="26">
        <v>0</v>
      </c>
      <c r="G18" s="27">
        <v>494791.31</v>
      </c>
      <c r="H18" s="28">
        <v>423655</v>
      </c>
      <c r="I18" s="26">
        <v>63</v>
      </c>
      <c r="J18" s="26">
        <v>192</v>
      </c>
    </row>
    <row r="19" spans="3:10" ht="24" customHeight="1" x14ac:dyDescent="0.25">
      <c r="C19" s="23" t="s">
        <v>861</v>
      </c>
      <c r="D19" s="23">
        <v>10</v>
      </c>
      <c r="E19" s="23">
        <v>11</v>
      </c>
      <c r="F19" s="23">
        <v>10</v>
      </c>
      <c r="G19" s="24">
        <v>24273649.07</v>
      </c>
      <c r="H19" s="25">
        <v>2234758</v>
      </c>
      <c r="I19" s="25">
        <v>1146</v>
      </c>
      <c r="J19" s="23">
        <v>440</v>
      </c>
    </row>
    <row r="20" spans="3:10" ht="24" customHeight="1" x14ac:dyDescent="0.25">
      <c r="G20" s="2"/>
      <c r="H20" s="3"/>
      <c r="I20" s="3"/>
    </row>
    <row r="21" spans="3:10" ht="24" customHeight="1" x14ac:dyDescent="0.25">
      <c r="G21" s="2"/>
      <c r="H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5A1C-2AC4-4739-98FA-C813C2E529C3}">
  <sheetPr filterMode="1"/>
  <dimension ref="D1:H238"/>
  <sheetViews>
    <sheetView workbookViewId="0">
      <selection activeCell="G242" sqref="G242"/>
    </sheetView>
  </sheetViews>
  <sheetFormatPr defaultRowHeight="21.75" customHeight="1" x14ac:dyDescent="0.25"/>
  <cols>
    <col min="4" max="4" width="44.28515625" bestFit="1" customWidth="1"/>
    <col min="5" max="5" width="10.140625" bestFit="1" customWidth="1"/>
    <col min="6" max="6" width="15.28515625" bestFit="1" customWidth="1"/>
    <col min="7" max="8" width="56" bestFit="1" customWidth="1"/>
  </cols>
  <sheetData>
    <row r="1" spans="4:8" ht="21.75" customHeight="1" x14ac:dyDescent="0.25">
      <c r="D1" s="1" t="s">
        <v>885</v>
      </c>
      <c r="E1" s="31" t="s">
        <v>411</v>
      </c>
      <c r="F1" s="31" t="s">
        <v>909</v>
      </c>
      <c r="G1" s="1" t="s">
        <v>911</v>
      </c>
      <c r="H1" s="1" t="s">
        <v>911</v>
      </c>
    </row>
    <row r="2" spans="4:8" ht="21.75" hidden="1" customHeight="1" x14ac:dyDescent="0.25">
      <c r="D2" s="1" t="s">
        <v>65</v>
      </c>
      <c r="E2" s="31" t="s">
        <v>450</v>
      </c>
      <c r="F2" s="31" t="s">
        <v>811</v>
      </c>
      <c r="G2" s="33" t="s">
        <v>912</v>
      </c>
      <c r="H2" s="32" t="str">
        <f>HYPERLINK(G2)</f>
        <v>https://www.egx.com.eg/ar/NewsList.aspx?ISIN=EGS739Z1C016</v>
      </c>
    </row>
    <row r="3" spans="4:8" ht="21.75" hidden="1" customHeight="1" x14ac:dyDescent="0.25">
      <c r="D3" s="1" t="s">
        <v>127</v>
      </c>
      <c r="E3" s="31" t="s">
        <v>451</v>
      </c>
      <c r="F3" s="31" t="s">
        <v>698</v>
      </c>
      <c r="G3" s="33" t="s">
        <v>913</v>
      </c>
      <c r="H3" s="32" t="str">
        <f t="shared" ref="H3:H66" si="0">HYPERLINK(G3)</f>
        <v>https://www.egx.com.eg/ar/NewsList.aspx?ISIN=EGS729F1C012</v>
      </c>
    </row>
    <row r="4" spans="4:8" ht="21.75" hidden="1" customHeight="1" x14ac:dyDescent="0.25">
      <c r="D4" s="1" t="s">
        <v>70</v>
      </c>
      <c r="E4" s="31" t="s">
        <v>452</v>
      </c>
      <c r="F4" s="31" t="s">
        <v>630</v>
      </c>
      <c r="G4" s="33" t="s">
        <v>914</v>
      </c>
      <c r="H4" s="32" t="str">
        <f t="shared" si="0"/>
        <v>https://www.egx.com.eg/ar/NewsList.aspx?ISIN=EGS21541C015</v>
      </c>
    </row>
    <row r="5" spans="4:8" ht="21.75" hidden="1" customHeight="1" x14ac:dyDescent="0.25">
      <c r="D5" s="1" t="s">
        <v>152</v>
      </c>
      <c r="E5" s="31" t="s">
        <v>416</v>
      </c>
      <c r="F5" s="31" t="s">
        <v>817</v>
      </c>
      <c r="G5" s="33" t="s">
        <v>915</v>
      </c>
      <c r="H5" s="32" t="str">
        <f t="shared" si="0"/>
        <v>https://www.egx.com.eg/ar/NewsList.aspx?ISIN=EGS38211C016</v>
      </c>
    </row>
    <row r="6" spans="4:8" ht="21.75" hidden="1" customHeight="1" x14ac:dyDescent="0.25">
      <c r="D6" s="1" t="s">
        <v>189</v>
      </c>
      <c r="E6" s="31" t="s">
        <v>453</v>
      </c>
      <c r="F6" s="31" t="s">
        <v>629</v>
      </c>
      <c r="G6" s="33" t="s">
        <v>916</v>
      </c>
      <c r="H6" s="32" t="str">
        <f t="shared" si="0"/>
        <v>https://www.egx.com.eg/ar/NewsList.aspx?ISIN=EGS65081C019</v>
      </c>
    </row>
    <row r="7" spans="4:8" ht="21.75" hidden="1" customHeight="1" x14ac:dyDescent="0.25">
      <c r="D7" s="1" t="s">
        <v>209</v>
      </c>
      <c r="E7" s="31" t="s">
        <v>347</v>
      </c>
      <c r="F7" s="31" t="s">
        <v>685</v>
      </c>
      <c r="G7" s="33" t="s">
        <v>917</v>
      </c>
      <c r="H7" s="32" t="str">
        <f t="shared" si="0"/>
        <v>https://www.egx.com.eg/ar/NewsList.aspx?ISIN=EGS44031C010</v>
      </c>
    </row>
    <row r="8" spans="4:8" ht="21.75" hidden="1" customHeight="1" x14ac:dyDescent="0.25">
      <c r="D8" s="1" t="s">
        <v>116</v>
      </c>
      <c r="E8" s="31" t="s">
        <v>272</v>
      </c>
      <c r="F8" s="31" t="s">
        <v>746</v>
      </c>
      <c r="G8" s="33" t="s">
        <v>918</v>
      </c>
      <c r="H8" s="32" t="str">
        <f t="shared" si="0"/>
        <v>https://www.egx.com.eg/ar/NewsList.aspx?ISIN=EGS30901C010</v>
      </c>
    </row>
    <row r="9" spans="4:8" ht="21.75" hidden="1" customHeight="1" x14ac:dyDescent="0.25">
      <c r="D9" s="1" t="s">
        <v>184</v>
      </c>
      <c r="E9" s="31" t="s">
        <v>454</v>
      </c>
      <c r="F9" s="31" t="s">
        <v>733</v>
      </c>
      <c r="G9" s="33" t="s">
        <v>919</v>
      </c>
      <c r="H9" s="32" t="str">
        <f t="shared" si="0"/>
        <v>https://www.egx.com.eg/ar/NewsList.aspx?ISIN=EGS60321C014</v>
      </c>
    </row>
    <row r="10" spans="4:8" ht="21.75" hidden="1" customHeight="1" x14ac:dyDescent="0.25">
      <c r="D10" s="1" t="s">
        <v>423</v>
      </c>
      <c r="E10" s="31" t="s">
        <v>329</v>
      </c>
      <c r="F10" s="31" t="s">
        <v>694</v>
      </c>
      <c r="G10" s="33" t="s">
        <v>920</v>
      </c>
      <c r="H10" s="32" t="str">
        <f t="shared" si="0"/>
        <v>https://www.egx.com.eg/ar/NewsList.aspx?ISIN=EGS48022C015</v>
      </c>
    </row>
    <row r="11" spans="4:8" ht="21.75" hidden="1" customHeight="1" x14ac:dyDescent="0.25">
      <c r="D11" s="1" t="s">
        <v>424</v>
      </c>
      <c r="E11" s="31" t="s">
        <v>455</v>
      </c>
      <c r="F11" s="31" t="s">
        <v>753</v>
      </c>
      <c r="G11" s="33" t="s">
        <v>921</v>
      </c>
      <c r="H11" s="32" t="str">
        <f t="shared" si="0"/>
        <v>https://www.egx.com.eg/ar/NewsList.aspx?ISIN=EGS59U92C011</v>
      </c>
    </row>
    <row r="12" spans="4:8" ht="21.75" hidden="1" customHeight="1" x14ac:dyDescent="0.25">
      <c r="D12" s="1" t="s">
        <v>886</v>
      </c>
      <c r="E12" s="31" t="s">
        <v>902</v>
      </c>
      <c r="F12" s="31" t="s">
        <v>887</v>
      </c>
      <c r="G12" s="33" t="s">
        <v>922</v>
      </c>
      <c r="H12" s="32" t="str">
        <f t="shared" si="0"/>
        <v>https://www.egx.com.eg/ar/NewsList.aspx?ISIN=EGS923X1C014</v>
      </c>
    </row>
    <row r="13" spans="4:8" ht="21.75" hidden="1" customHeight="1" x14ac:dyDescent="0.25">
      <c r="D13" s="1" t="s">
        <v>47</v>
      </c>
      <c r="E13" s="31" t="s">
        <v>456</v>
      </c>
      <c r="F13" s="31" t="s">
        <v>802</v>
      </c>
      <c r="G13" s="33" t="s">
        <v>923</v>
      </c>
      <c r="H13" s="32" t="str">
        <f t="shared" si="0"/>
        <v>https://www.egx.com.eg/ar/NewsList.aspx?ISIN=EGS07661C019</v>
      </c>
    </row>
    <row r="14" spans="4:8" ht="21.75" hidden="1" customHeight="1" x14ac:dyDescent="0.25">
      <c r="D14" s="1" t="s">
        <v>62</v>
      </c>
      <c r="E14" s="31" t="s">
        <v>293</v>
      </c>
      <c r="F14" s="31" t="s">
        <v>838</v>
      </c>
      <c r="G14" s="33" t="s">
        <v>924</v>
      </c>
      <c r="H14" s="32" t="str">
        <f t="shared" si="0"/>
        <v>https://www.egx.com.eg/ar/NewsList.aspx?ISIN=EGS505Z1C018</v>
      </c>
    </row>
    <row r="15" spans="4:8" ht="21.75" hidden="1" customHeight="1" x14ac:dyDescent="0.25">
      <c r="D15" s="1" t="s">
        <v>52</v>
      </c>
      <c r="E15" s="31" t="s">
        <v>370</v>
      </c>
      <c r="F15" s="31" t="s">
        <v>737</v>
      </c>
      <c r="G15" s="33" t="s">
        <v>925</v>
      </c>
      <c r="H15" s="32" t="str">
        <f t="shared" si="0"/>
        <v>https://www.egx.com.eg/ar/NewsList.aspx?ISIN=EGS656M1C010</v>
      </c>
    </row>
    <row r="16" spans="4:8" ht="21.75" hidden="1" customHeight="1" x14ac:dyDescent="0.25">
      <c r="D16" s="1" t="s">
        <v>129</v>
      </c>
      <c r="E16" s="31" t="s">
        <v>457</v>
      </c>
      <c r="F16" s="31" t="s">
        <v>835</v>
      </c>
      <c r="G16" s="33" t="s">
        <v>926</v>
      </c>
      <c r="H16" s="32" t="str">
        <f t="shared" si="0"/>
        <v>https://www.egx.com.eg/ar/NewsList.aspx?ISIN=EGS01071C017</v>
      </c>
    </row>
    <row r="17" spans="4:8" ht="21.75" hidden="1" customHeight="1" x14ac:dyDescent="0.25">
      <c r="D17" s="1" t="s">
        <v>131</v>
      </c>
      <c r="E17" s="31" t="s">
        <v>458</v>
      </c>
      <c r="F17" s="31" t="s">
        <v>604</v>
      </c>
      <c r="G17" s="33" t="s">
        <v>927</v>
      </c>
      <c r="H17" s="32" t="str">
        <f t="shared" si="0"/>
        <v>https://www.egx.com.eg/ar/NewsList.aspx?ISIN=EGS21351C019</v>
      </c>
    </row>
    <row r="18" spans="4:8" ht="21.75" hidden="1" customHeight="1" x14ac:dyDescent="0.25">
      <c r="D18" s="1" t="s">
        <v>132</v>
      </c>
      <c r="E18" s="31" t="s">
        <v>345</v>
      </c>
      <c r="F18" s="31" t="s">
        <v>640</v>
      </c>
      <c r="G18" s="33" t="s">
        <v>928</v>
      </c>
      <c r="H18" s="32" t="str">
        <f t="shared" si="0"/>
        <v>https://www.egx.com.eg/ar/NewsList.aspx?ISIN=EGS07061C012</v>
      </c>
    </row>
    <row r="19" spans="4:8" ht="21.75" hidden="1" customHeight="1" x14ac:dyDescent="0.25">
      <c r="D19" s="1" t="s">
        <v>134</v>
      </c>
      <c r="E19" s="31" t="s">
        <v>459</v>
      </c>
      <c r="F19" s="31" t="s">
        <v>672</v>
      </c>
      <c r="G19" s="33" t="s">
        <v>929</v>
      </c>
      <c r="H19" s="32" t="str">
        <f t="shared" si="0"/>
        <v>https://www.egx.com.eg/ar/NewsList.aspx?ISIN=EGS32331C018</v>
      </c>
    </row>
    <row r="20" spans="4:8" ht="21.75" hidden="1" customHeight="1" x14ac:dyDescent="0.25">
      <c r="D20" s="1" t="s">
        <v>135</v>
      </c>
      <c r="E20" s="31" t="s">
        <v>460</v>
      </c>
      <c r="F20" s="31" t="s">
        <v>652</v>
      </c>
      <c r="G20" s="33" t="s">
        <v>930</v>
      </c>
      <c r="H20" s="32" t="str">
        <f t="shared" si="0"/>
        <v>https://www.egx.com.eg/ar/NewsList.aspx?ISIN=EGS21531C016</v>
      </c>
    </row>
    <row r="21" spans="4:8" ht="21.75" hidden="1" customHeight="1" x14ac:dyDescent="0.25">
      <c r="D21" s="1" t="s">
        <v>138</v>
      </c>
      <c r="E21" s="31" t="s">
        <v>284</v>
      </c>
      <c r="F21" s="31" t="s">
        <v>735</v>
      </c>
      <c r="G21" s="33" t="s">
        <v>931</v>
      </c>
      <c r="H21" s="32" t="str">
        <f t="shared" si="0"/>
        <v>https://www.egx.com.eg/ar/NewsList.aspx?ISIN=EGS60231C015</v>
      </c>
    </row>
    <row r="22" spans="4:8" ht="21.75" hidden="1" customHeight="1" x14ac:dyDescent="0.25">
      <c r="D22" s="1" t="s">
        <v>141</v>
      </c>
      <c r="E22" s="31" t="s">
        <v>337</v>
      </c>
      <c r="F22" s="31" t="s">
        <v>814</v>
      </c>
      <c r="G22" s="33" t="s">
        <v>932</v>
      </c>
      <c r="H22" s="32" t="str">
        <f t="shared" si="0"/>
        <v>https://www.egx.com.eg/ar/NewsList.aspx?ISIN=EGS3D0C1C018</v>
      </c>
    </row>
    <row r="23" spans="4:8" ht="21.75" hidden="1" customHeight="1" x14ac:dyDescent="0.25">
      <c r="D23" s="1" t="s">
        <v>425</v>
      </c>
      <c r="E23" s="31" t="s">
        <v>461</v>
      </c>
      <c r="F23" s="31" t="s">
        <v>708</v>
      </c>
      <c r="G23" s="33" t="s">
        <v>933</v>
      </c>
      <c r="H23" s="32" t="str">
        <f t="shared" si="0"/>
        <v>https://www.egx.com.eg/ar/NewsList.aspx?ISIN=EGS69182C011</v>
      </c>
    </row>
    <row r="24" spans="4:8" ht="21.75" hidden="1" customHeight="1" x14ac:dyDescent="0.25">
      <c r="D24" s="1" t="s">
        <v>142</v>
      </c>
      <c r="E24" s="31" t="s">
        <v>286</v>
      </c>
      <c r="F24" s="31" t="s">
        <v>723</v>
      </c>
      <c r="G24" s="33" t="s">
        <v>934</v>
      </c>
      <c r="H24" s="32" t="str">
        <f t="shared" si="0"/>
        <v>https://www.egx.com.eg/ar/NewsList.aspx?ISIN=EGS655L1C012</v>
      </c>
    </row>
    <row r="25" spans="4:8" ht="21.75" hidden="1" customHeight="1" x14ac:dyDescent="0.25">
      <c r="D25" s="1" t="s">
        <v>144</v>
      </c>
      <c r="E25" s="31" t="s">
        <v>462</v>
      </c>
      <c r="F25" s="31" t="s">
        <v>608</v>
      </c>
      <c r="G25" s="33" t="s">
        <v>935</v>
      </c>
      <c r="H25" s="32" t="str">
        <f t="shared" si="0"/>
        <v>https://www.egx.com.eg/ar/NewsList.aspx?ISIN=EGS10001C013</v>
      </c>
    </row>
    <row r="26" spans="4:8" ht="21.75" hidden="1" customHeight="1" x14ac:dyDescent="0.25">
      <c r="D26" s="1" t="s">
        <v>76</v>
      </c>
      <c r="E26" s="31" t="s">
        <v>290</v>
      </c>
      <c r="F26" s="31" t="s">
        <v>795</v>
      </c>
      <c r="G26" s="33" t="s">
        <v>936</v>
      </c>
      <c r="H26" s="32" t="str">
        <f t="shared" si="0"/>
        <v>https://www.egx.com.eg/ar/NewsList.aspx?ISIN=EGS740C1C010</v>
      </c>
    </row>
    <row r="27" spans="4:8" ht="21.75" hidden="1" customHeight="1" x14ac:dyDescent="0.25">
      <c r="D27" s="1" t="s">
        <v>148</v>
      </c>
      <c r="E27" s="31" t="s">
        <v>239</v>
      </c>
      <c r="F27" s="31" t="s">
        <v>645</v>
      </c>
      <c r="G27" s="33" t="s">
        <v>937</v>
      </c>
      <c r="H27" s="32" t="str">
        <f t="shared" si="0"/>
        <v>https://www.egx.com.eg/ar/NewsList.aspx?ISIN=EGS3G0Z1C014</v>
      </c>
    </row>
    <row r="28" spans="4:8" ht="21.75" hidden="1" customHeight="1" x14ac:dyDescent="0.25">
      <c r="D28" s="1" t="s">
        <v>149</v>
      </c>
      <c r="E28" s="31" t="s">
        <v>242</v>
      </c>
      <c r="F28" s="31" t="s">
        <v>647</v>
      </c>
      <c r="G28" s="33" t="s">
        <v>938</v>
      </c>
      <c r="H28" s="32" t="str">
        <f t="shared" si="0"/>
        <v>https://www.egx.com.eg/ar/NewsList.aspx?ISIN=EGS37091C013</v>
      </c>
    </row>
    <row r="29" spans="4:8" ht="21.75" hidden="1" customHeight="1" x14ac:dyDescent="0.25">
      <c r="D29" s="1" t="s">
        <v>80</v>
      </c>
      <c r="E29" s="31" t="s">
        <v>248</v>
      </c>
      <c r="F29" s="31" t="s">
        <v>602</v>
      </c>
      <c r="G29" s="33" t="s">
        <v>939</v>
      </c>
      <c r="H29" s="32" t="str">
        <f t="shared" si="0"/>
        <v>https://www.egx.com.eg/ar/NewsList.aspx?ISIN=EGS38191C010</v>
      </c>
    </row>
    <row r="30" spans="4:8" ht="21.75" hidden="1" customHeight="1" x14ac:dyDescent="0.25">
      <c r="D30" s="1" t="s">
        <v>81</v>
      </c>
      <c r="E30" s="31" t="s">
        <v>463</v>
      </c>
      <c r="F30" s="31" t="s">
        <v>641</v>
      </c>
      <c r="G30" s="33" t="s">
        <v>940</v>
      </c>
      <c r="H30" s="32" t="str">
        <f t="shared" si="0"/>
        <v>https://www.egx.com.eg/ar/NewsList.aspx?ISIN=EGS38251C012</v>
      </c>
    </row>
    <row r="31" spans="4:8" ht="21.75" hidden="1" customHeight="1" x14ac:dyDescent="0.25">
      <c r="D31" s="1" t="s">
        <v>153</v>
      </c>
      <c r="E31" s="31" t="s">
        <v>464</v>
      </c>
      <c r="F31" s="31" t="s">
        <v>831</v>
      </c>
      <c r="G31" s="33" t="s">
        <v>941</v>
      </c>
      <c r="H31" s="32" t="str">
        <f t="shared" si="0"/>
        <v>https://www.egx.com.eg/ar/NewsList.aspx?ISIN=EGS38351C010</v>
      </c>
    </row>
    <row r="32" spans="4:8" ht="21.75" hidden="1" customHeight="1" x14ac:dyDescent="0.25">
      <c r="D32" s="1" t="s">
        <v>156</v>
      </c>
      <c r="E32" s="31" t="s">
        <v>465</v>
      </c>
      <c r="F32" s="31" t="s">
        <v>596</v>
      </c>
      <c r="G32" s="33" t="s">
        <v>942</v>
      </c>
      <c r="H32" s="32" t="str">
        <f t="shared" si="0"/>
        <v>https://www.egx.com.eg/ar/NewsList.aspx?ISIN=EGS681D1C010</v>
      </c>
    </row>
    <row r="33" spans="4:8" ht="21.75" hidden="1" customHeight="1" x14ac:dyDescent="0.25">
      <c r="D33" s="1" t="s">
        <v>159</v>
      </c>
      <c r="E33" s="31" t="s">
        <v>335</v>
      </c>
      <c r="F33" s="31" t="s">
        <v>779</v>
      </c>
      <c r="G33" s="33" t="s">
        <v>943</v>
      </c>
      <c r="H33" s="32" t="str">
        <f t="shared" si="0"/>
        <v>https://www.egx.com.eg/ar/NewsList.aspx?ISIN=EGS691D1C018</v>
      </c>
    </row>
    <row r="34" spans="4:8" ht="21.75" hidden="1" customHeight="1" x14ac:dyDescent="0.25">
      <c r="D34" s="1" t="s">
        <v>18</v>
      </c>
      <c r="E34" s="31" t="s">
        <v>274</v>
      </c>
      <c r="F34" s="31" t="s">
        <v>727</v>
      </c>
      <c r="G34" s="33" t="s">
        <v>944</v>
      </c>
      <c r="H34" s="32" t="str">
        <f t="shared" si="0"/>
        <v>https://www.egx.com.eg/ar/NewsList.aspx?ISIN=EGS691G1C015</v>
      </c>
    </row>
    <row r="35" spans="4:8" ht="21.75" hidden="1" customHeight="1" x14ac:dyDescent="0.25">
      <c r="D35" s="1" t="s">
        <v>162</v>
      </c>
      <c r="E35" s="31" t="s">
        <v>466</v>
      </c>
      <c r="F35" s="31" t="s">
        <v>673</v>
      </c>
      <c r="G35" s="33" t="s">
        <v>945</v>
      </c>
      <c r="H35" s="32" t="str">
        <f t="shared" si="0"/>
        <v>https://www.egx.com.eg/ar/NewsList.aspx?ISIN=EGS681I1C015</v>
      </c>
    </row>
    <row r="36" spans="4:8" ht="21.75" hidden="1" customHeight="1" x14ac:dyDescent="0.25">
      <c r="D36" s="1" t="s">
        <v>165</v>
      </c>
      <c r="E36" s="31" t="s">
        <v>389</v>
      </c>
      <c r="F36" s="31" t="s">
        <v>766</v>
      </c>
      <c r="G36" s="33" t="s">
        <v>946</v>
      </c>
      <c r="H36" s="32" t="str">
        <f t="shared" si="0"/>
        <v>https://www.egx.com.eg/ar/NewsList.aspx?ISIN=EGS33321C018</v>
      </c>
    </row>
    <row r="37" spans="4:8" ht="21.75" hidden="1" customHeight="1" x14ac:dyDescent="0.25">
      <c r="D37" s="1" t="s">
        <v>13</v>
      </c>
      <c r="E37" s="31" t="s">
        <v>467</v>
      </c>
      <c r="F37" s="31" t="s">
        <v>612</v>
      </c>
      <c r="G37" s="33" t="s">
        <v>947</v>
      </c>
      <c r="H37" s="32" t="str">
        <f t="shared" si="0"/>
        <v>https://www.egx.com.eg/ar/NewsList.aspx?ISIN=EGS380R1C018</v>
      </c>
    </row>
    <row r="38" spans="4:8" ht="21.75" hidden="1" customHeight="1" x14ac:dyDescent="0.25">
      <c r="D38" s="1" t="s">
        <v>17</v>
      </c>
      <c r="E38" s="31" t="s">
        <v>468</v>
      </c>
      <c r="F38" s="31" t="s">
        <v>824</v>
      </c>
      <c r="G38" s="33" t="s">
        <v>948</v>
      </c>
      <c r="H38" s="32" t="str">
        <f t="shared" si="0"/>
        <v>https://www.egx.com.eg/ar/NewsList.aspx?ISIN=EGS30351C018</v>
      </c>
    </row>
    <row r="39" spans="4:8" ht="21.75" hidden="1" customHeight="1" x14ac:dyDescent="0.25">
      <c r="D39" s="1" t="s">
        <v>168</v>
      </c>
      <c r="E39" s="31" t="s">
        <v>400</v>
      </c>
      <c r="F39" s="31" t="s">
        <v>660</v>
      </c>
      <c r="G39" s="33" t="s">
        <v>949</v>
      </c>
      <c r="H39" s="32" t="str">
        <f t="shared" si="0"/>
        <v>https://www.egx.com.eg/ar/NewsList.aspx?ISIN=EGS30441C017</v>
      </c>
    </row>
    <row r="40" spans="4:8" ht="21.75" hidden="1" customHeight="1" x14ac:dyDescent="0.25">
      <c r="D40" s="1" t="s">
        <v>169</v>
      </c>
      <c r="E40" s="31" t="s">
        <v>469</v>
      </c>
      <c r="F40" s="31" t="s">
        <v>829</v>
      </c>
      <c r="G40" s="33" t="s">
        <v>950</v>
      </c>
      <c r="H40" s="32" t="str">
        <f t="shared" si="0"/>
        <v>https://www.egx.com.eg/ar/NewsList.aspx?ISIN=EGS30411C010</v>
      </c>
    </row>
    <row r="41" spans="4:8" ht="21.75" hidden="1" customHeight="1" x14ac:dyDescent="0.25">
      <c r="D41" s="1" t="s">
        <v>171</v>
      </c>
      <c r="E41" s="31" t="s">
        <v>383</v>
      </c>
      <c r="F41" s="31" t="s">
        <v>618</v>
      </c>
      <c r="G41" s="33" t="s">
        <v>951</v>
      </c>
      <c r="H41" s="32" t="str">
        <f t="shared" si="0"/>
        <v>https://www.egx.com.eg/ar/NewsList.aspx?ISIN=EGS32041C013</v>
      </c>
    </row>
    <row r="42" spans="4:8" ht="21.75" hidden="1" customHeight="1" x14ac:dyDescent="0.25">
      <c r="D42" s="1" t="s">
        <v>173</v>
      </c>
      <c r="E42" s="31" t="s">
        <v>409</v>
      </c>
      <c r="F42" s="31" t="s">
        <v>707</v>
      </c>
      <c r="G42" s="33" t="s">
        <v>952</v>
      </c>
      <c r="H42" s="32" t="str">
        <f t="shared" si="0"/>
        <v>https://www.egx.com.eg/ar/NewsList.aspx?ISIN=EGS33061C010</v>
      </c>
    </row>
    <row r="43" spans="4:8" ht="21.75" hidden="1" customHeight="1" x14ac:dyDescent="0.25">
      <c r="D43" s="1" t="s">
        <v>175</v>
      </c>
      <c r="E43" s="31" t="s">
        <v>470</v>
      </c>
      <c r="F43" s="31" t="s">
        <v>833</v>
      </c>
      <c r="G43" s="33" t="s">
        <v>953</v>
      </c>
      <c r="H43" s="32" t="str">
        <f t="shared" si="0"/>
        <v>https://www.egx.com.eg/ar/NewsList.aspx?ISIN=EGS65441C015</v>
      </c>
    </row>
    <row r="44" spans="4:8" ht="21.75" hidden="1" customHeight="1" x14ac:dyDescent="0.25">
      <c r="D44" s="1" t="s">
        <v>177</v>
      </c>
      <c r="E44" s="31" t="s">
        <v>471</v>
      </c>
      <c r="F44" s="31" t="s">
        <v>798</v>
      </c>
      <c r="G44" s="33" t="s">
        <v>954</v>
      </c>
      <c r="H44" s="32" t="str">
        <f t="shared" si="0"/>
        <v>https://www.egx.com.eg/ar/NewsList.aspx?ISIN=EGS38411C012</v>
      </c>
    </row>
    <row r="45" spans="4:8" ht="21.75" hidden="1" customHeight="1" x14ac:dyDescent="0.25">
      <c r="D45" s="1" t="s">
        <v>92</v>
      </c>
      <c r="E45" s="31" t="s">
        <v>472</v>
      </c>
      <c r="F45" s="31" t="s">
        <v>774</v>
      </c>
      <c r="G45" s="33" t="s">
        <v>955</v>
      </c>
      <c r="H45" s="32" t="str">
        <f t="shared" si="0"/>
        <v>https://www.egx.com.eg/ar/NewsList.aspx?ISIN=EGS3A221C018</v>
      </c>
    </row>
    <row r="46" spans="4:8" ht="21.75" hidden="1" customHeight="1" x14ac:dyDescent="0.25">
      <c r="D46" s="1" t="s">
        <v>94</v>
      </c>
      <c r="E46" s="31" t="s">
        <v>473</v>
      </c>
      <c r="F46" s="31" t="s">
        <v>803</v>
      </c>
      <c r="G46" s="33" t="s">
        <v>956</v>
      </c>
      <c r="H46" s="32" t="str">
        <f t="shared" si="0"/>
        <v>https://www.egx.com.eg/ar/NewsList.aspx?ISIN=EGS3C161C014</v>
      </c>
    </row>
    <row r="47" spans="4:8" ht="21.75" hidden="1" customHeight="1" x14ac:dyDescent="0.25">
      <c r="D47" s="1" t="s">
        <v>95</v>
      </c>
      <c r="E47" s="31" t="s">
        <v>308</v>
      </c>
      <c r="F47" s="31" t="s">
        <v>818</v>
      </c>
      <c r="G47" s="33" t="s">
        <v>957</v>
      </c>
      <c r="H47" s="32" t="str">
        <f t="shared" si="0"/>
        <v>https://www.egx.com.eg/ar/NewsList.aspx?ISIN=EGS3C391C017</v>
      </c>
    </row>
    <row r="48" spans="4:8" ht="21.75" hidden="1" customHeight="1" x14ac:dyDescent="0.25">
      <c r="D48" s="1" t="s">
        <v>96</v>
      </c>
      <c r="E48" s="31" t="s">
        <v>474</v>
      </c>
      <c r="F48" s="31" t="s">
        <v>603</v>
      </c>
      <c r="G48" s="33" t="s">
        <v>958</v>
      </c>
      <c r="H48" s="32" t="str">
        <f t="shared" si="0"/>
        <v>https://www.egx.com.eg/ar/NewsList.aspx?ISIN=EGS30211C014</v>
      </c>
    </row>
    <row r="49" spans="4:8" ht="21.75" hidden="1" customHeight="1" x14ac:dyDescent="0.25">
      <c r="D49" s="1" t="s">
        <v>97</v>
      </c>
      <c r="E49" s="31" t="s">
        <v>295</v>
      </c>
      <c r="F49" s="31" t="s">
        <v>628</v>
      </c>
      <c r="G49" s="33" t="s">
        <v>959</v>
      </c>
      <c r="H49" s="32" t="str">
        <f t="shared" si="0"/>
        <v>https://www.egx.com.eg/ar/NewsList.aspx?ISIN=EGS60241C014</v>
      </c>
    </row>
    <row r="50" spans="4:8" ht="21.75" hidden="1" customHeight="1" x14ac:dyDescent="0.25">
      <c r="D50" s="1" t="s">
        <v>186</v>
      </c>
      <c r="E50" s="31" t="s">
        <v>475</v>
      </c>
      <c r="F50" s="31" t="s">
        <v>625</v>
      </c>
      <c r="G50" s="33" t="s">
        <v>960</v>
      </c>
      <c r="H50" s="32" t="str">
        <f t="shared" si="0"/>
        <v>https://www.egx.com.eg/ar/NewsList.aspx?ISIN=EGS69021C011</v>
      </c>
    </row>
    <row r="51" spans="4:8" ht="21.75" hidden="1" customHeight="1" x14ac:dyDescent="0.25">
      <c r="D51" s="1" t="s">
        <v>426</v>
      </c>
      <c r="E51" s="31" t="s">
        <v>476</v>
      </c>
      <c r="F51" s="31" t="s">
        <v>790</v>
      </c>
      <c r="G51" s="33" t="s">
        <v>961</v>
      </c>
      <c r="H51" s="32" t="str">
        <f t="shared" si="0"/>
        <v>https://www.egx.com.eg/ar/NewsList.aspx?ISIN=EGS69082C013</v>
      </c>
    </row>
    <row r="52" spans="4:8" ht="21.75" hidden="1" customHeight="1" x14ac:dyDescent="0.25">
      <c r="D52" s="1" t="s">
        <v>99</v>
      </c>
      <c r="E52" s="31" t="s">
        <v>477</v>
      </c>
      <c r="F52" s="31" t="s">
        <v>651</v>
      </c>
      <c r="G52" s="33" t="s">
        <v>962</v>
      </c>
      <c r="H52" s="32" t="str">
        <f t="shared" si="0"/>
        <v>https://www.egx.com.eg/ar/NewsList.aspx?ISIN=EGS65091C018</v>
      </c>
    </row>
    <row r="53" spans="4:8" ht="21.75" hidden="1" customHeight="1" x14ac:dyDescent="0.25">
      <c r="D53" s="1" t="s">
        <v>191</v>
      </c>
      <c r="E53" s="31" t="s">
        <v>478</v>
      </c>
      <c r="F53" s="31" t="s">
        <v>688</v>
      </c>
      <c r="G53" s="33" t="s">
        <v>963</v>
      </c>
      <c r="H53" s="32" t="str">
        <f t="shared" si="0"/>
        <v>https://www.egx.com.eg/ar/NewsList.aspx?ISIN=EGS65061C011</v>
      </c>
    </row>
    <row r="54" spans="4:8" ht="21.75" hidden="1" customHeight="1" x14ac:dyDescent="0.25">
      <c r="D54" s="1" t="s">
        <v>101</v>
      </c>
      <c r="E54" s="31" t="s">
        <v>479</v>
      </c>
      <c r="F54" s="31" t="s">
        <v>772</v>
      </c>
      <c r="G54" s="33" t="s">
        <v>964</v>
      </c>
      <c r="H54" s="32" t="str">
        <f t="shared" si="0"/>
        <v>https://www.egx.com.eg/ar/NewsList.aspx?ISIN=EGS70271C019</v>
      </c>
    </row>
    <row r="55" spans="4:8" ht="21.75" hidden="1" customHeight="1" x14ac:dyDescent="0.25">
      <c r="D55" s="1" t="s">
        <v>24</v>
      </c>
      <c r="E55" s="31" t="s">
        <v>280</v>
      </c>
      <c r="F55" s="31" t="s">
        <v>719</v>
      </c>
      <c r="G55" s="33" t="s">
        <v>965</v>
      </c>
      <c r="H55" s="32" t="str">
        <f t="shared" si="0"/>
        <v>https://www.egx.com.eg/ar/NewsList.aspx?ISIN=EGS70321C012</v>
      </c>
    </row>
    <row r="56" spans="4:8" ht="21.75" hidden="1" customHeight="1" x14ac:dyDescent="0.25">
      <c r="D56" s="1" t="s">
        <v>195</v>
      </c>
      <c r="E56" s="31" t="s">
        <v>418</v>
      </c>
      <c r="F56" s="31" t="s">
        <v>799</v>
      </c>
      <c r="G56" s="33" t="s">
        <v>966</v>
      </c>
      <c r="H56" s="32" t="str">
        <f t="shared" si="0"/>
        <v>https://www.egx.com.eg/ar/NewsList.aspx?ISIN=EGS65511C015</v>
      </c>
    </row>
    <row r="57" spans="4:8" ht="21.75" hidden="1" customHeight="1" x14ac:dyDescent="0.25">
      <c r="D57" s="1" t="s">
        <v>197</v>
      </c>
      <c r="E57" s="31" t="s">
        <v>480</v>
      </c>
      <c r="F57" s="31" t="s">
        <v>663</v>
      </c>
      <c r="G57" s="33" t="s">
        <v>967</v>
      </c>
      <c r="H57" s="32" t="str">
        <f t="shared" si="0"/>
        <v>https://www.egx.com.eg/ar/NewsList.aspx?ISIN=EGS65551C011</v>
      </c>
    </row>
    <row r="58" spans="4:8" ht="21.75" hidden="1" customHeight="1" x14ac:dyDescent="0.25">
      <c r="D58" s="1" t="s">
        <v>104</v>
      </c>
      <c r="E58" s="31" t="s">
        <v>288</v>
      </c>
      <c r="F58" s="31" t="s">
        <v>642</v>
      </c>
      <c r="G58" s="33" t="s">
        <v>968</v>
      </c>
      <c r="H58" s="32" t="str">
        <f t="shared" si="0"/>
        <v>https://www.egx.com.eg/ar/NewsList.aspx?ISIN=EGS65851C015</v>
      </c>
    </row>
    <row r="59" spans="4:8" ht="21.75" hidden="1" customHeight="1" x14ac:dyDescent="0.25">
      <c r="D59" s="1" t="s">
        <v>200</v>
      </c>
      <c r="E59" s="31" t="s">
        <v>481</v>
      </c>
      <c r="F59" s="31" t="s">
        <v>702</v>
      </c>
      <c r="G59" s="33" t="s">
        <v>969</v>
      </c>
      <c r="H59" s="32" t="str">
        <f t="shared" si="0"/>
        <v>https://www.egx.com.eg/ar/NewsList.aspx?ISIN=EGS67221C019</v>
      </c>
    </row>
    <row r="60" spans="4:8" ht="21.75" hidden="1" customHeight="1" x14ac:dyDescent="0.25">
      <c r="D60" s="1" t="s">
        <v>201</v>
      </c>
      <c r="E60" s="31" t="s">
        <v>482</v>
      </c>
      <c r="F60" s="31" t="s">
        <v>619</v>
      </c>
      <c r="G60" s="33" t="s">
        <v>970</v>
      </c>
      <c r="H60" s="32" t="str">
        <f t="shared" si="0"/>
        <v>https://www.egx.com.eg/ar/NewsList.aspx?ISIN=EGS67331C016</v>
      </c>
    </row>
    <row r="61" spans="4:8" ht="21.75" hidden="1" customHeight="1" x14ac:dyDescent="0.25">
      <c r="D61" s="1" t="s">
        <v>15</v>
      </c>
      <c r="E61" s="31" t="s">
        <v>349</v>
      </c>
      <c r="F61" s="31" t="s">
        <v>822</v>
      </c>
      <c r="G61" s="33" t="s">
        <v>971</v>
      </c>
      <c r="H61" s="32" t="str">
        <f t="shared" si="0"/>
        <v>https://www.egx.com.eg/ar/NewsList.aspx?ISIN=EGS70081C012</v>
      </c>
    </row>
    <row r="62" spans="4:8" ht="21.75" hidden="1" customHeight="1" x14ac:dyDescent="0.25">
      <c r="D62" s="1" t="s">
        <v>106</v>
      </c>
      <c r="E62" s="31" t="s">
        <v>483</v>
      </c>
      <c r="F62" s="31" t="s">
        <v>671</v>
      </c>
      <c r="G62" s="33" t="s">
        <v>972</v>
      </c>
      <c r="H62" s="32" t="str">
        <f t="shared" si="0"/>
        <v>https://www.egx.com.eg/ar/NewsList.aspx?ISIN=EGS30221C013</v>
      </c>
    </row>
    <row r="63" spans="4:8" ht="21.75" hidden="1" customHeight="1" x14ac:dyDescent="0.25">
      <c r="D63" s="1" t="s">
        <v>57</v>
      </c>
      <c r="E63" s="31" t="s">
        <v>315</v>
      </c>
      <c r="F63" s="31" t="s">
        <v>714</v>
      </c>
      <c r="G63" s="33" t="s">
        <v>973</v>
      </c>
      <c r="H63" s="32" t="str">
        <f t="shared" si="0"/>
        <v>https://www.egx.com.eg/ar/NewsList.aspx?ISIN=EGS75011C014</v>
      </c>
    </row>
    <row r="64" spans="4:8" ht="21.75" hidden="1" customHeight="1" x14ac:dyDescent="0.25">
      <c r="D64" s="1" t="s">
        <v>108</v>
      </c>
      <c r="E64" s="31" t="s">
        <v>484</v>
      </c>
      <c r="F64" s="31" t="s">
        <v>778</v>
      </c>
      <c r="G64" s="33" t="s">
        <v>974</v>
      </c>
      <c r="H64" s="32" t="str">
        <f t="shared" si="0"/>
        <v>https://www.egx.com.eg/ar/NewsList.aspx?ISIN=EGS51191C012</v>
      </c>
    </row>
    <row r="65" spans="4:8" ht="21.75" hidden="1" customHeight="1" x14ac:dyDescent="0.25">
      <c r="D65" s="1" t="s">
        <v>25</v>
      </c>
      <c r="E65" s="31" t="s">
        <v>247</v>
      </c>
      <c r="F65" s="31" t="s">
        <v>734</v>
      </c>
      <c r="G65" s="33" t="s">
        <v>975</v>
      </c>
      <c r="H65" s="32" t="str">
        <f t="shared" si="0"/>
        <v>https://www.egx.com.eg/ar/NewsList.aspx?ISIN=EGS60081C014</v>
      </c>
    </row>
    <row r="66" spans="4:8" ht="21.75" hidden="1" customHeight="1" x14ac:dyDescent="0.25">
      <c r="D66" s="1" t="s">
        <v>109</v>
      </c>
      <c r="E66" s="31" t="s">
        <v>485</v>
      </c>
      <c r="F66" s="31" t="s">
        <v>669</v>
      </c>
      <c r="G66" s="33" t="s">
        <v>976</v>
      </c>
      <c r="H66" s="32" t="str">
        <f t="shared" si="0"/>
        <v>https://www.egx.com.eg/ar/NewsList.aspx?ISIN=EGS3G111C015</v>
      </c>
    </row>
    <row r="67" spans="4:8" ht="21.75" hidden="1" customHeight="1" x14ac:dyDescent="0.25">
      <c r="D67" s="1" t="s">
        <v>110</v>
      </c>
      <c r="E67" s="31" t="s">
        <v>486</v>
      </c>
      <c r="F67" s="31" t="s">
        <v>693</v>
      </c>
      <c r="G67" s="33" t="s">
        <v>977</v>
      </c>
      <c r="H67" s="32" t="str">
        <f t="shared" ref="H67:H130" si="1">HYPERLINK(G67)</f>
        <v>https://www.egx.com.eg/ar/NewsList.aspx?ISIN=EGS42051C010</v>
      </c>
    </row>
    <row r="68" spans="4:8" ht="21.75" hidden="1" customHeight="1" x14ac:dyDescent="0.25">
      <c r="D68" s="1" t="s">
        <v>427</v>
      </c>
      <c r="E68" s="31" t="s">
        <v>487</v>
      </c>
      <c r="F68" s="31" t="s">
        <v>768</v>
      </c>
      <c r="G68" s="33" t="s">
        <v>978</v>
      </c>
      <c r="H68" s="32" t="str">
        <f t="shared" si="1"/>
        <v>https://www.egx.com.eg/ar/NewsList.aspx?ISIN=EGS42121C011</v>
      </c>
    </row>
    <row r="69" spans="4:8" ht="21.75" hidden="1" customHeight="1" x14ac:dyDescent="0.25">
      <c r="D69" s="1" t="s">
        <v>210</v>
      </c>
      <c r="E69" s="31" t="s">
        <v>419</v>
      </c>
      <c r="F69" s="31" t="s">
        <v>771</v>
      </c>
      <c r="G69" s="33" t="s">
        <v>979</v>
      </c>
      <c r="H69" s="32" t="str">
        <f t="shared" si="1"/>
        <v>https://www.egx.com.eg/ar/NewsList.aspx?ISIN=EGS74191C015</v>
      </c>
    </row>
    <row r="70" spans="4:8" ht="21.75" hidden="1" customHeight="1" x14ac:dyDescent="0.25">
      <c r="D70" s="1" t="s">
        <v>113</v>
      </c>
      <c r="E70" s="31" t="s">
        <v>256</v>
      </c>
      <c r="F70" s="31" t="s">
        <v>717</v>
      </c>
      <c r="G70" s="33" t="s">
        <v>980</v>
      </c>
      <c r="H70" s="32" t="str">
        <f t="shared" si="1"/>
        <v>https://www.egx.com.eg/ar/NewsList.aspx?ISIN=EGS95001C011</v>
      </c>
    </row>
    <row r="71" spans="4:8" ht="21.75" hidden="1" customHeight="1" x14ac:dyDescent="0.25">
      <c r="D71" s="1" t="s">
        <v>114</v>
      </c>
      <c r="E71" s="31" t="s">
        <v>354</v>
      </c>
      <c r="F71" s="31" t="s">
        <v>739</v>
      </c>
      <c r="G71" s="33" t="s">
        <v>981</v>
      </c>
      <c r="H71" s="32" t="str">
        <f t="shared" si="1"/>
        <v>https://www.egx.com.eg/ar/NewsList.aspx?ISIN=EGS691T1C010</v>
      </c>
    </row>
    <row r="72" spans="4:8" ht="21.75" hidden="1" customHeight="1" x14ac:dyDescent="0.25">
      <c r="D72" s="1" t="s">
        <v>428</v>
      </c>
      <c r="E72" s="31" t="s">
        <v>488</v>
      </c>
      <c r="F72" s="31" t="s">
        <v>730</v>
      </c>
      <c r="G72" s="33" t="s">
        <v>982</v>
      </c>
      <c r="H72" s="32" t="str">
        <f t="shared" si="1"/>
        <v>https://www.egx.com.eg/ar/NewsList.aspx?ISIN=EGS60142C014</v>
      </c>
    </row>
    <row r="73" spans="4:8" ht="21.75" hidden="1" customHeight="1" x14ac:dyDescent="0.25">
      <c r="D73" s="1" t="s">
        <v>217</v>
      </c>
      <c r="E73" s="31" t="s">
        <v>325</v>
      </c>
      <c r="F73" s="31" t="s">
        <v>728</v>
      </c>
      <c r="G73" s="33" t="s">
        <v>983</v>
      </c>
      <c r="H73" s="32" t="str">
        <f t="shared" si="1"/>
        <v>https://www.egx.com.eg/ar/NewsList.aspx?ISIN=EGS60101C010</v>
      </c>
    </row>
    <row r="74" spans="4:8" ht="21.75" hidden="1" customHeight="1" x14ac:dyDescent="0.25">
      <c r="D74" s="1" t="s">
        <v>10</v>
      </c>
      <c r="E74" s="31" t="s">
        <v>244</v>
      </c>
      <c r="F74" s="31" t="s">
        <v>820</v>
      </c>
      <c r="G74" s="33" t="s">
        <v>984</v>
      </c>
      <c r="H74" s="32" t="str">
        <f t="shared" si="1"/>
        <v>https://www.egx.com.eg/ar/NewsList.aspx?ISIN=EGS3E181C010</v>
      </c>
    </row>
    <row r="75" spans="4:8" ht="21.75" hidden="1" customHeight="1" x14ac:dyDescent="0.25">
      <c r="D75" s="1" t="s">
        <v>219</v>
      </c>
      <c r="E75" s="31" t="s">
        <v>489</v>
      </c>
      <c r="F75" s="31" t="s">
        <v>620</v>
      </c>
      <c r="G75" s="33" t="s">
        <v>985</v>
      </c>
      <c r="H75" s="32" t="str">
        <f t="shared" si="1"/>
        <v>https://www.egx.com.eg/ar/NewsList.aspx?ISIN=EGS214Q1C011</v>
      </c>
    </row>
    <row r="76" spans="4:8" ht="21.75" hidden="1" customHeight="1" x14ac:dyDescent="0.25">
      <c r="D76" s="1" t="s">
        <v>429</v>
      </c>
      <c r="E76" s="31" t="s">
        <v>490</v>
      </c>
      <c r="F76" s="31" t="s">
        <v>684</v>
      </c>
      <c r="G76" s="33" t="s">
        <v>986</v>
      </c>
      <c r="H76" s="32" t="str">
        <f t="shared" si="1"/>
        <v>https://www.egx.com.eg/ar/NewsList.aspx?ISIN=EGS73541P048</v>
      </c>
    </row>
    <row r="77" spans="4:8" ht="21.75" hidden="1" customHeight="1" x14ac:dyDescent="0.25">
      <c r="D77" s="1" t="s">
        <v>222</v>
      </c>
      <c r="E77" s="31" t="s">
        <v>491</v>
      </c>
      <c r="F77" s="31" t="s">
        <v>610</v>
      </c>
      <c r="G77" s="33" t="s">
        <v>987</v>
      </c>
      <c r="H77" s="32" t="str">
        <f t="shared" si="1"/>
        <v>https://www.egx.com.eg/ar/NewsList.aspx?ISIN=EGS071L1C018</v>
      </c>
    </row>
    <row r="78" spans="4:8" ht="21.75" hidden="1" customHeight="1" x14ac:dyDescent="0.25">
      <c r="D78" s="1" t="s">
        <v>117</v>
      </c>
      <c r="E78" s="31" t="s">
        <v>266</v>
      </c>
      <c r="F78" s="31" t="s">
        <v>722</v>
      </c>
      <c r="G78" s="33" t="s">
        <v>988</v>
      </c>
      <c r="H78" s="32" t="str">
        <f t="shared" si="1"/>
        <v>https://www.egx.com.eg/ar/NewsList.aspx?ISIN=EGS305I1C011</v>
      </c>
    </row>
    <row r="79" spans="4:8" ht="21.75" hidden="1" customHeight="1" x14ac:dyDescent="0.25">
      <c r="D79" s="1" t="s">
        <v>118</v>
      </c>
      <c r="E79" s="31" t="s">
        <v>303</v>
      </c>
      <c r="F79" s="31" t="s">
        <v>667</v>
      </c>
      <c r="G79" s="33" t="s">
        <v>989</v>
      </c>
      <c r="H79" s="32" t="str">
        <f t="shared" si="1"/>
        <v>https://www.egx.com.eg/ar/NewsList.aspx?ISIN=EGS3C0O1C016</v>
      </c>
    </row>
    <row r="80" spans="4:8" ht="21.75" hidden="1" customHeight="1" x14ac:dyDescent="0.25">
      <c r="D80" s="1" t="s">
        <v>888</v>
      </c>
      <c r="E80" s="31" t="s">
        <v>492</v>
      </c>
      <c r="F80" s="31" t="s">
        <v>715</v>
      </c>
      <c r="G80" s="33" t="s">
        <v>990</v>
      </c>
      <c r="H80" s="32" t="str">
        <f t="shared" si="1"/>
        <v>https://www.egx.com.eg/ar/NewsList.aspx?ISIN=EGS696S1C016</v>
      </c>
    </row>
    <row r="81" spans="4:8" ht="21.75" hidden="1" customHeight="1" x14ac:dyDescent="0.25">
      <c r="D81" s="1" t="s">
        <v>430</v>
      </c>
      <c r="E81" s="31" t="s">
        <v>493</v>
      </c>
      <c r="F81" s="31" t="s">
        <v>791</v>
      </c>
      <c r="G81" s="33" t="s">
        <v>991</v>
      </c>
      <c r="H81" s="32" t="str">
        <f t="shared" si="1"/>
        <v>https://www.egx.com.eg/ar/NewsList.aspx?ISIN=EGS69081C023</v>
      </c>
    </row>
    <row r="82" spans="4:8" ht="21.75" hidden="1" customHeight="1" x14ac:dyDescent="0.25">
      <c r="D82" s="1" t="s">
        <v>232</v>
      </c>
      <c r="E82" s="31" t="s">
        <v>494</v>
      </c>
      <c r="F82" s="31" t="s">
        <v>741</v>
      </c>
      <c r="G82" s="33" t="s">
        <v>992</v>
      </c>
      <c r="H82" s="32" t="str">
        <f t="shared" si="1"/>
        <v>https://www.egx.com.eg/ar/NewsList.aspx?ISIN=EGS21EB1C011</v>
      </c>
    </row>
    <row r="83" spans="4:8" ht="21.75" hidden="1" customHeight="1" x14ac:dyDescent="0.25">
      <c r="D83" s="1" t="s">
        <v>39</v>
      </c>
      <c r="E83" s="31" t="s">
        <v>374</v>
      </c>
      <c r="F83" s="31" t="s">
        <v>721</v>
      </c>
      <c r="G83" s="33" t="s">
        <v>993</v>
      </c>
      <c r="H83" s="32" t="str">
        <f t="shared" si="1"/>
        <v>https://www.egx.com.eg/ar/NewsList.aspx?ISIN=EGS697S1C015</v>
      </c>
    </row>
    <row r="84" spans="4:8" ht="21.75" hidden="1" customHeight="1" x14ac:dyDescent="0.25">
      <c r="D84" s="1" t="s">
        <v>11</v>
      </c>
      <c r="E84" s="31" t="s">
        <v>307</v>
      </c>
      <c r="F84" s="31" t="s">
        <v>785</v>
      </c>
      <c r="G84" s="33" t="s">
        <v>994</v>
      </c>
      <c r="H84" s="32" t="str">
        <f t="shared" si="1"/>
        <v>https://www.egx.com.eg/ar/NewsList.aspx?ISIN=EGS490S1C014</v>
      </c>
    </row>
    <row r="85" spans="4:8" ht="21.75" hidden="1" customHeight="1" x14ac:dyDescent="0.25">
      <c r="D85" s="1" t="s">
        <v>19</v>
      </c>
      <c r="E85" s="31" t="s">
        <v>396</v>
      </c>
      <c r="F85" s="31" t="s">
        <v>713</v>
      </c>
      <c r="G85" s="33" t="s">
        <v>995</v>
      </c>
      <c r="H85" s="32" t="str">
        <f t="shared" si="1"/>
        <v>https://www.egx.com.eg/ar/NewsList.aspx?ISIN=EGS370O1C013</v>
      </c>
    </row>
    <row r="86" spans="4:8" ht="21.75" hidden="1" customHeight="1" x14ac:dyDescent="0.25">
      <c r="D86" s="1" t="s">
        <v>43</v>
      </c>
      <c r="E86" s="31" t="s">
        <v>420</v>
      </c>
      <c r="F86" s="31" t="s">
        <v>611</v>
      </c>
      <c r="G86" s="33" t="s">
        <v>996</v>
      </c>
      <c r="H86" s="32" t="str">
        <f t="shared" si="1"/>
        <v>https://www.egx.com.eg/ar/NewsList.aspx?ISIN=EGS7D5P1C019</v>
      </c>
    </row>
    <row r="87" spans="4:8" ht="21.75" hidden="1" customHeight="1" x14ac:dyDescent="0.25">
      <c r="D87" s="1" t="s">
        <v>58</v>
      </c>
      <c r="E87" s="31" t="s">
        <v>495</v>
      </c>
      <c r="F87" s="31" t="s">
        <v>769</v>
      </c>
      <c r="G87" s="33" t="s">
        <v>997</v>
      </c>
      <c r="H87" s="32" t="str">
        <f t="shared" si="1"/>
        <v>https://www.egx.com.eg/ar/NewsList.aspx?ISIN=EGS74F71C015</v>
      </c>
    </row>
    <row r="88" spans="4:8" ht="21.75" hidden="1" customHeight="1" x14ac:dyDescent="0.25">
      <c r="D88" s="1" t="s">
        <v>45</v>
      </c>
      <c r="E88" s="31" t="s">
        <v>496</v>
      </c>
      <c r="F88" s="31" t="s">
        <v>599</v>
      </c>
      <c r="G88" s="33" t="s">
        <v>998</v>
      </c>
      <c r="H88" s="32" t="str">
        <f t="shared" si="1"/>
        <v>https://www.egx.com.eg/ar/NewsList.aspx?ISIN=EGS221V1C015</v>
      </c>
    </row>
    <row r="89" spans="4:8" ht="21.75" hidden="1" customHeight="1" x14ac:dyDescent="0.25">
      <c r="D89" s="1" t="s">
        <v>889</v>
      </c>
      <c r="E89" s="31" t="s">
        <v>903</v>
      </c>
      <c r="F89" s="31" t="s">
        <v>890</v>
      </c>
      <c r="G89" s="33" t="s">
        <v>999</v>
      </c>
      <c r="H89" s="32" t="str">
        <f t="shared" si="1"/>
        <v>https://www.egx.com.eg/ar/NewsList.aspx?ISIN=EGS923M1C017</v>
      </c>
    </row>
    <row r="90" spans="4:8" ht="21.75" hidden="1" customHeight="1" x14ac:dyDescent="0.25">
      <c r="D90" s="1" t="s">
        <v>891</v>
      </c>
      <c r="E90" s="31" t="s">
        <v>904</v>
      </c>
      <c r="F90" s="31" t="s">
        <v>892</v>
      </c>
      <c r="G90" s="33" t="s">
        <v>1000</v>
      </c>
      <c r="H90" s="32" t="str">
        <f t="shared" si="1"/>
        <v>https://www.egx.com.eg/ar/NewsList.aspx?ISIN=EGS923V1C016</v>
      </c>
    </row>
    <row r="91" spans="4:8" ht="21.75" hidden="1" customHeight="1" x14ac:dyDescent="0.25">
      <c r="D91" s="1" t="s">
        <v>893</v>
      </c>
      <c r="E91" s="31" t="s">
        <v>905</v>
      </c>
      <c r="F91" s="31" t="s">
        <v>894</v>
      </c>
      <c r="G91" s="33" t="s">
        <v>1001</v>
      </c>
      <c r="H91" s="32" t="str">
        <f t="shared" si="1"/>
        <v>https://www.egx.com.eg/ar/NewsList.aspx?ISIN=EGS923W1C015</v>
      </c>
    </row>
    <row r="92" spans="4:8" ht="21.75" hidden="1" customHeight="1" x14ac:dyDescent="0.25">
      <c r="D92" s="1" t="s">
        <v>431</v>
      </c>
      <c r="E92" s="31" t="s">
        <v>497</v>
      </c>
      <c r="F92" s="31" t="s">
        <v>895</v>
      </c>
      <c r="G92" s="33" t="s">
        <v>1002</v>
      </c>
      <c r="H92" s="32" t="str">
        <f t="shared" si="1"/>
        <v>https://www.egx.com.eg/ar/NewsList.aspx?ISIN=EGS07331C019</v>
      </c>
    </row>
    <row r="93" spans="4:8" ht="21.75" hidden="1" customHeight="1" x14ac:dyDescent="0.25">
      <c r="D93" s="1" t="s">
        <v>22</v>
      </c>
      <c r="E93" s="31" t="s">
        <v>321</v>
      </c>
      <c r="F93" s="31" t="s">
        <v>691</v>
      </c>
      <c r="G93" s="33" t="s">
        <v>1003</v>
      </c>
      <c r="H93" s="32" t="str">
        <f t="shared" si="1"/>
        <v>https://www.egx.com.eg/ar/NewsList.aspx?ISIN=EGS600M1C017</v>
      </c>
    </row>
    <row r="94" spans="4:8" ht="21.75" hidden="1" customHeight="1" x14ac:dyDescent="0.25">
      <c r="D94" s="1" t="s">
        <v>63</v>
      </c>
      <c r="E94" s="31" t="s">
        <v>498</v>
      </c>
      <c r="F94" s="31" t="s">
        <v>747</v>
      </c>
      <c r="G94" s="33" t="s">
        <v>1004</v>
      </c>
      <c r="H94" s="32" t="str">
        <f t="shared" si="1"/>
        <v>https://www.egx.com.eg/ar/NewsList.aspx?ISIN=EGS07DR1C012</v>
      </c>
    </row>
    <row r="95" spans="4:8" ht="21.75" hidden="1" customHeight="1" x14ac:dyDescent="0.25">
      <c r="D95" s="1" t="s">
        <v>432</v>
      </c>
      <c r="E95" s="31" t="s">
        <v>499</v>
      </c>
      <c r="F95" s="31" t="s">
        <v>794</v>
      </c>
      <c r="G95" s="33" t="s">
        <v>1005</v>
      </c>
      <c r="H95" s="32" t="str">
        <f t="shared" si="1"/>
        <v>https://www.egx.com.eg/ar/NewsList.aspx?ISIN=EGS07911C018</v>
      </c>
    </row>
    <row r="96" spans="4:8" ht="21.75" hidden="1" customHeight="1" x14ac:dyDescent="0.25">
      <c r="D96" s="1" t="s">
        <v>53</v>
      </c>
      <c r="E96" s="31" t="s">
        <v>500</v>
      </c>
      <c r="F96" s="31" t="s">
        <v>638</v>
      </c>
      <c r="G96" s="33" t="s">
        <v>1006</v>
      </c>
      <c r="H96" s="32" t="str">
        <f t="shared" si="1"/>
        <v>https://www.egx.com.eg/ar/NewsList.aspx?ISIN=EGS520D1C015</v>
      </c>
    </row>
    <row r="97" spans="4:8" ht="21.75" hidden="1" customHeight="1" x14ac:dyDescent="0.25">
      <c r="D97" s="1" t="s">
        <v>433</v>
      </c>
      <c r="E97" s="31" t="s">
        <v>501</v>
      </c>
      <c r="F97" s="31" t="s">
        <v>796</v>
      </c>
      <c r="G97" s="33" t="s">
        <v>1007</v>
      </c>
      <c r="H97" s="32" t="str">
        <f t="shared" si="1"/>
        <v>https://www.egx.com.eg/ar/NewsList.aspx?ISIN=EGS698X1C017</v>
      </c>
    </row>
    <row r="98" spans="4:8" ht="21.75" hidden="1" customHeight="1" x14ac:dyDescent="0.25">
      <c r="D98" s="1" t="s">
        <v>66</v>
      </c>
      <c r="E98" s="31" t="s">
        <v>502</v>
      </c>
      <c r="F98" s="31" t="s">
        <v>781</v>
      </c>
      <c r="G98" s="33" t="s">
        <v>1008</v>
      </c>
      <c r="H98" s="32" t="str">
        <f t="shared" si="1"/>
        <v>https://www.egx.com.eg/ar/NewsList.aspx?ISIN=EGS70571C012</v>
      </c>
    </row>
    <row r="99" spans="4:8" ht="21.75" hidden="1" customHeight="1" x14ac:dyDescent="0.25">
      <c r="D99" s="1" t="s">
        <v>128</v>
      </c>
      <c r="E99" s="31" t="s">
        <v>503</v>
      </c>
      <c r="F99" s="31" t="s">
        <v>658</v>
      </c>
      <c r="G99" s="33" t="s">
        <v>1009</v>
      </c>
      <c r="H99" s="32" t="str">
        <f t="shared" si="1"/>
        <v>https://www.egx.com.eg/ar/NewsList.aspx?ISIN=EGS01081C016</v>
      </c>
    </row>
    <row r="100" spans="4:8" ht="21.75" hidden="1" customHeight="1" x14ac:dyDescent="0.25">
      <c r="D100" s="1" t="s">
        <v>68</v>
      </c>
      <c r="E100" s="31" t="s">
        <v>504</v>
      </c>
      <c r="F100" s="31" t="s">
        <v>621</v>
      </c>
      <c r="G100" s="33" t="s">
        <v>1010</v>
      </c>
      <c r="H100" s="32" t="str">
        <f t="shared" si="1"/>
        <v>https://www.egx.com.eg/ar/NewsList.aspx?ISIN=EGS01041C010</v>
      </c>
    </row>
    <row r="101" spans="4:8" ht="21.75" hidden="1" customHeight="1" x14ac:dyDescent="0.25">
      <c r="D101" s="1" t="s">
        <v>130</v>
      </c>
      <c r="E101" s="31" t="s">
        <v>505</v>
      </c>
      <c r="F101" s="31" t="s">
        <v>622</v>
      </c>
      <c r="G101" s="33" t="s">
        <v>1011</v>
      </c>
      <c r="H101" s="32" t="str">
        <f t="shared" si="1"/>
        <v>https://www.egx.com.eg/ar/NewsList.aspx?ISIN=EGS02021C011</v>
      </c>
    </row>
    <row r="102" spans="4:8" ht="21.75" hidden="1" customHeight="1" x14ac:dyDescent="0.25">
      <c r="D102" s="1" t="s">
        <v>7</v>
      </c>
      <c r="E102" s="31" t="s">
        <v>506</v>
      </c>
      <c r="F102" s="31" t="s">
        <v>703</v>
      </c>
      <c r="G102" s="33" t="s">
        <v>1012</v>
      </c>
      <c r="H102" s="32" t="str">
        <f t="shared" si="1"/>
        <v>https://www.egx.com.eg/ar/NewsList.aspx?ISIN=EGS02091C014</v>
      </c>
    </row>
    <row r="103" spans="4:8" ht="21.75" hidden="1" customHeight="1" x14ac:dyDescent="0.25">
      <c r="D103" s="1" t="s">
        <v>5</v>
      </c>
      <c r="E103" s="31" t="s">
        <v>322</v>
      </c>
      <c r="F103" s="31" t="s">
        <v>680</v>
      </c>
      <c r="G103" s="33" t="s">
        <v>1013</v>
      </c>
      <c r="H103" s="32" t="str">
        <f t="shared" si="1"/>
        <v>https://www.egx.com.eg/ar/NewsList.aspx?ISIN=EGS02051C018</v>
      </c>
    </row>
    <row r="104" spans="4:8" ht="21.75" customHeight="1" x14ac:dyDescent="0.25">
      <c r="D104" s="1" t="s">
        <v>69</v>
      </c>
      <c r="E104" s="31" t="s">
        <v>377</v>
      </c>
      <c r="F104" s="31" t="s">
        <v>775</v>
      </c>
      <c r="G104" s="33" t="s">
        <v>910</v>
      </c>
      <c r="H104" s="32" t="str">
        <f t="shared" si="1"/>
        <v>https://www.egx.com.eg/ar/NewsList.aspx?ISIN=EGS21171C011</v>
      </c>
    </row>
    <row r="105" spans="4:8" ht="21.75" hidden="1" customHeight="1" x14ac:dyDescent="0.25">
      <c r="D105" s="1" t="s">
        <v>133</v>
      </c>
      <c r="E105" s="31" t="s">
        <v>507</v>
      </c>
      <c r="F105" s="31" t="s">
        <v>635</v>
      </c>
      <c r="G105" s="33" t="s">
        <v>1014</v>
      </c>
      <c r="H105" s="32" t="str">
        <f t="shared" si="1"/>
        <v>https://www.egx.com.eg/ar/NewsList.aspx?ISIN=EGS651B1C018</v>
      </c>
    </row>
    <row r="106" spans="4:8" ht="21.75" hidden="1" customHeight="1" x14ac:dyDescent="0.25">
      <c r="D106" s="1" t="s">
        <v>434</v>
      </c>
      <c r="E106" s="31" t="s">
        <v>508</v>
      </c>
      <c r="F106" s="31" t="s">
        <v>639</v>
      </c>
      <c r="G106" s="33" t="s">
        <v>1015</v>
      </c>
      <c r="H106" s="32" t="str">
        <f t="shared" si="1"/>
        <v>https://www.egx.com.eg/ar/NewsList.aspx?ISIN=EGS67001C015</v>
      </c>
    </row>
    <row r="107" spans="4:8" ht="21.75" hidden="1" customHeight="1" x14ac:dyDescent="0.25">
      <c r="D107" s="1" t="s">
        <v>136</v>
      </c>
      <c r="E107" s="31" t="s">
        <v>509</v>
      </c>
      <c r="F107" s="31" t="s">
        <v>690</v>
      </c>
      <c r="G107" s="33" t="s">
        <v>1016</v>
      </c>
      <c r="H107" s="32" t="str">
        <f t="shared" si="1"/>
        <v>https://www.egx.com.eg/ar/NewsList.aspx?ISIN=EGS22171C010</v>
      </c>
    </row>
    <row r="108" spans="4:8" ht="21.75" hidden="1" customHeight="1" x14ac:dyDescent="0.25">
      <c r="D108" s="1" t="s">
        <v>72</v>
      </c>
      <c r="E108" s="31" t="s">
        <v>417</v>
      </c>
      <c r="F108" s="31" t="s">
        <v>782</v>
      </c>
      <c r="G108" s="33" t="s">
        <v>1017</v>
      </c>
      <c r="H108" s="32" t="str">
        <f t="shared" si="1"/>
        <v>https://www.egx.com.eg/ar/NewsList.aspx?ISIN=EGS23111C015</v>
      </c>
    </row>
    <row r="109" spans="4:8" ht="21.75" hidden="1" customHeight="1" x14ac:dyDescent="0.25">
      <c r="D109" s="1" t="s">
        <v>896</v>
      </c>
      <c r="E109" s="31" t="s">
        <v>510</v>
      </c>
      <c r="F109" s="31" t="s">
        <v>797</v>
      </c>
      <c r="G109" s="33" t="s">
        <v>1018</v>
      </c>
      <c r="H109" s="32" t="str">
        <f t="shared" si="1"/>
        <v>https://www.egx.com.eg/ar/NewsList.aspx?ISIN=EGS23141C012</v>
      </c>
    </row>
    <row r="110" spans="4:8" ht="21.75" hidden="1" customHeight="1" x14ac:dyDescent="0.25">
      <c r="D110" s="1" t="s">
        <v>435</v>
      </c>
      <c r="E110" s="31" t="s">
        <v>282</v>
      </c>
      <c r="F110" s="31" t="s">
        <v>732</v>
      </c>
      <c r="G110" s="33" t="s">
        <v>1019</v>
      </c>
      <c r="H110" s="32" t="str">
        <f t="shared" si="1"/>
        <v>https://www.egx.com.eg/ar/NewsList.aspx?ISIN=EGS60322C012</v>
      </c>
    </row>
    <row r="111" spans="4:8" ht="21.75" hidden="1" customHeight="1" x14ac:dyDescent="0.25">
      <c r="D111" s="1" t="s">
        <v>139</v>
      </c>
      <c r="E111" s="31" t="s">
        <v>258</v>
      </c>
      <c r="F111" s="31" t="s">
        <v>729</v>
      </c>
      <c r="G111" s="33" t="s">
        <v>1020</v>
      </c>
      <c r="H111" s="32" t="str">
        <f t="shared" si="1"/>
        <v>https://www.egx.com.eg/ar/NewsList.aspx?ISIN=EGS60301C016</v>
      </c>
    </row>
    <row r="112" spans="4:8" ht="21.75" hidden="1" customHeight="1" x14ac:dyDescent="0.25">
      <c r="D112" s="1" t="s">
        <v>73</v>
      </c>
      <c r="E112" s="31" t="s">
        <v>511</v>
      </c>
      <c r="F112" s="31" t="s">
        <v>696</v>
      </c>
      <c r="G112" s="33" t="s">
        <v>1021</v>
      </c>
      <c r="H112" s="32" t="str">
        <f t="shared" si="1"/>
        <v>https://www.egx.com.eg/ar/NewsList.aspx?ISIN=EGS02211C018</v>
      </c>
    </row>
    <row r="113" spans="4:8" ht="21.75" hidden="1" customHeight="1" x14ac:dyDescent="0.25">
      <c r="D113" s="1" t="s">
        <v>140</v>
      </c>
      <c r="E113" s="31" t="s">
        <v>512</v>
      </c>
      <c r="F113" s="31" t="s">
        <v>594</v>
      </c>
      <c r="G113" s="33" t="s">
        <v>1022</v>
      </c>
      <c r="H113" s="32" t="str">
        <f t="shared" si="1"/>
        <v>https://www.egx.com.eg/ar/NewsList.aspx?ISIN=EGS675S1C011</v>
      </c>
    </row>
    <row r="114" spans="4:8" ht="21.75" hidden="1" customHeight="1" x14ac:dyDescent="0.25">
      <c r="D114" s="1" t="s">
        <v>436</v>
      </c>
      <c r="E114" s="31" t="s">
        <v>513</v>
      </c>
      <c r="F114" s="31" t="s">
        <v>805</v>
      </c>
      <c r="G114" s="33" t="s">
        <v>1023</v>
      </c>
      <c r="H114" s="32" t="str">
        <f t="shared" si="1"/>
        <v>https://www.egx.com.eg/ar/NewsList.aspx?ISIN=EGS69191C012</v>
      </c>
    </row>
    <row r="115" spans="4:8" ht="21.75" hidden="1" customHeight="1" x14ac:dyDescent="0.25">
      <c r="D115" s="1" t="s">
        <v>437</v>
      </c>
      <c r="E115" s="31" t="s">
        <v>514</v>
      </c>
      <c r="F115" s="31" t="s">
        <v>801</v>
      </c>
      <c r="G115" s="33" t="s">
        <v>1024</v>
      </c>
      <c r="H115" s="32" t="str">
        <f t="shared" si="1"/>
        <v>https://www.egx.com.eg/ar/NewsList.aspx?ISIN=EGS672I2C014</v>
      </c>
    </row>
    <row r="116" spans="4:8" ht="21.75" hidden="1" customHeight="1" x14ac:dyDescent="0.25">
      <c r="D116" s="1" t="s">
        <v>438</v>
      </c>
      <c r="E116" s="31" t="s">
        <v>515</v>
      </c>
      <c r="F116" s="31" t="s">
        <v>751</v>
      </c>
      <c r="G116" s="33" t="s">
        <v>1025</v>
      </c>
      <c r="H116" s="32" t="str">
        <f t="shared" si="1"/>
        <v>https://www.egx.com.eg/ar/NewsList.aspx?ISIN=EGS213S1C010</v>
      </c>
    </row>
    <row r="117" spans="4:8" ht="21.75" hidden="1" customHeight="1" x14ac:dyDescent="0.25">
      <c r="D117" s="1" t="s">
        <v>439</v>
      </c>
      <c r="E117" s="31" t="s">
        <v>516</v>
      </c>
      <c r="F117" s="31" t="s">
        <v>646</v>
      </c>
      <c r="G117" s="33" t="s">
        <v>1026</v>
      </c>
      <c r="H117" s="32" t="str">
        <f t="shared" si="1"/>
        <v>https://www.egx.com.eg/ar/NewsList.aspx?ISIN=EGS3C001C012</v>
      </c>
    </row>
    <row r="118" spans="4:8" ht="21.75" hidden="1" customHeight="1" x14ac:dyDescent="0.25">
      <c r="D118" s="1" t="s">
        <v>143</v>
      </c>
      <c r="E118" s="31" t="s">
        <v>517</v>
      </c>
      <c r="F118" s="31" t="s">
        <v>624</v>
      </c>
      <c r="G118" s="33" t="s">
        <v>1027</v>
      </c>
      <c r="H118" s="32" t="str">
        <f t="shared" si="1"/>
        <v>https://www.egx.com.eg/ar/NewsList.aspx?ISIN=EGS360A1C011</v>
      </c>
    </row>
    <row r="119" spans="4:8" ht="21.75" hidden="1" customHeight="1" x14ac:dyDescent="0.25">
      <c r="D119" s="1" t="s">
        <v>145</v>
      </c>
      <c r="E119" s="31" t="s">
        <v>391</v>
      </c>
      <c r="F119" s="31" t="s">
        <v>832</v>
      </c>
      <c r="G119" s="33" t="s">
        <v>1028</v>
      </c>
      <c r="H119" s="32" t="str">
        <f t="shared" si="1"/>
        <v>https://www.egx.com.eg/ar/NewsList.aspx?ISIN=EGS380G1C011</v>
      </c>
    </row>
    <row r="120" spans="4:8" ht="21.75" hidden="1" customHeight="1" x14ac:dyDescent="0.25">
      <c r="D120" s="1" t="s">
        <v>146</v>
      </c>
      <c r="E120" s="31" t="s">
        <v>305</v>
      </c>
      <c r="F120" s="31" t="s">
        <v>780</v>
      </c>
      <c r="G120" s="33" t="s">
        <v>1029</v>
      </c>
      <c r="H120" s="32" t="str">
        <f t="shared" si="1"/>
        <v>https://www.egx.com.eg/ar/NewsList.aspx?ISIN=EGS380S1C017</v>
      </c>
    </row>
    <row r="121" spans="4:8" ht="21.75" hidden="1" customHeight="1" x14ac:dyDescent="0.25">
      <c r="D121" s="1" t="s">
        <v>78</v>
      </c>
      <c r="E121" s="31" t="s">
        <v>299</v>
      </c>
      <c r="F121" s="31" t="s">
        <v>770</v>
      </c>
      <c r="G121" s="33" t="s">
        <v>1030</v>
      </c>
      <c r="H121" s="32" t="str">
        <f t="shared" si="1"/>
        <v>https://www.egx.com.eg/ar/NewsList.aspx?ISIN=EGS690C1C010</v>
      </c>
    </row>
    <row r="122" spans="4:8" ht="21.75" hidden="1" customHeight="1" x14ac:dyDescent="0.25">
      <c r="D122" s="1" t="s">
        <v>147</v>
      </c>
      <c r="E122" s="31" t="s">
        <v>518</v>
      </c>
      <c r="F122" s="31" t="s">
        <v>807</v>
      </c>
      <c r="G122" s="33" t="s">
        <v>1031</v>
      </c>
      <c r="H122" s="32" t="str">
        <f t="shared" si="1"/>
        <v>https://www.egx.com.eg/ar/NewsList.aspx?ISIN=EGS46051C016</v>
      </c>
    </row>
    <row r="123" spans="4:8" ht="21.75" hidden="1" customHeight="1" x14ac:dyDescent="0.25">
      <c r="D123" s="1" t="s">
        <v>440</v>
      </c>
      <c r="E123" s="31" t="s">
        <v>519</v>
      </c>
      <c r="F123" s="31" t="s">
        <v>711</v>
      </c>
      <c r="G123" s="33" t="s">
        <v>1032</v>
      </c>
      <c r="H123" s="32" t="str">
        <f t="shared" si="1"/>
        <v>https://www.egx.com.eg/ar/NewsList.aspx?ISIN=EGS36091C014</v>
      </c>
    </row>
    <row r="124" spans="4:8" ht="21.75" hidden="1" customHeight="1" x14ac:dyDescent="0.25">
      <c r="D124" s="1" t="s">
        <v>79</v>
      </c>
      <c r="E124" s="31" t="s">
        <v>520</v>
      </c>
      <c r="F124" s="31" t="s">
        <v>659</v>
      </c>
      <c r="G124" s="33" t="s">
        <v>1033</v>
      </c>
      <c r="H124" s="32" t="str">
        <f t="shared" si="1"/>
        <v>https://www.egx.com.eg/ar/NewsList.aspx?ISIN=EGS36021C011</v>
      </c>
    </row>
    <row r="125" spans="4:8" ht="21.75" hidden="1" customHeight="1" x14ac:dyDescent="0.25">
      <c r="D125" s="1" t="s">
        <v>150</v>
      </c>
      <c r="E125" s="31" t="s">
        <v>323</v>
      </c>
      <c r="F125" s="31" t="s">
        <v>692</v>
      </c>
      <c r="G125" s="33" t="s">
        <v>1034</v>
      </c>
      <c r="H125" s="32" t="str">
        <f t="shared" si="1"/>
        <v>https://www.egx.com.eg/ar/NewsList.aspx?ISIN=EGS38081C013</v>
      </c>
    </row>
    <row r="126" spans="4:8" ht="21.75" hidden="1" customHeight="1" x14ac:dyDescent="0.25">
      <c r="D126" s="1" t="s">
        <v>29</v>
      </c>
      <c r="E126" s="31" t="s">
        <v>376</v>
      </c>
      <c r="F126" s="31" t="s">
        <v>744</v>
      </c>
      <c r="G126" s="33" t="s">
        <v>1035</v>
      </c>
      <c r="H126" s="32" t="str">
        <f t="shared" si="1"/>
        <v>https://www.egx.com.eg/ar/NewsList.aspx?ISIN=EGS38171C012</v>
      </c>
    </row>
    <row r="127" spans="4:8" ht="21.75" hidden="1" customHeight="1" x14ac:dyDescent="0.25">
      <c r="D127" s="1" t="s">
        <v>151</v>
      </c>
      <c r="E127" s="31" t="s">
        <v>521</v>
      </c>
      <c r="F127" s="31" t="s">
        <v>839</v>
      </c>
      <c r="G127" s="33" t="s">
        <v>1036</v>
      </c>
      <c r="H127" s="32" t="str">
        <f t="shared" si="1"/>
        <v>https://www.egx.com.eg/ar/NewsList.aspx?ISIN=EGS38161C013</v>
      </c>
    </row>
    <row r="128" spans="4:8" ht="21.75" hidden="1" customHeight="1" x14ac:dyDescent="0.25">
      <c r="D128" s="1" t="s">
        <v>82</v>
      </c>
      <c r="E128" s="31" t="s">
        <v>291</v>
      </c>
      <c r="F128" s="31" t="s">
        <v>654</v>
      </c>
      <c r="G128" s="33" t="s">
        <v>1037</v>
      </c>
      <c r="H128" s="32" t="str">
        <f t="shared" si="1"/>
        <v>https://www.egx.com.eg/ar/NewsList.aspx?ISIN=EGS38201C017</v>
      </c>
    </row>
    <row r="129" spans="4:8" ht="21.75" hidden="1" customHeight="1" x14ac:dyDescent="0.25">
      <c r="D129" s="1" t="s">
        <v>154</v>
      </c>
      <c r="E129" s="31" t="s">
        <v>404</v>
      </c>
      <c r="F129" s="31" t="s">
        <v>615</v>
      </c>
      <c r="G129" s="33" t="s">
        <v>1038</v>
      </c>
      <c r="H129" s="32" t="str">
        <f t="shared" si="1"/>
        <v>https://www.egx.com.eg/ar/NewsList.aspx?ISIN=EGS38341C011</v>
      </c>
    </row>
    <row r="130" spans="4:8" ht="21.75" hidden="1" customHeight="1" x14ac:dyDescent="0.25">
      <c r="D130" s="1" t="s">
        <v>155</v>
      </c>
      <c r="E130" s="31" t="s">
        <v>381</v>
      </c>
      <c r="F130" s="31" t="s">
        <v>709</v>
      </c>
      <c r="G130" s="33" t="s">
        <v>1039</v>
      </c>
      <c r="H130" s="32" t="str">
        <f t="shared" si="1"/>
        <v>https://www.egx.com.eg/ar/NewsList.aspx?ISIN=EGS38331C012</v>
      </c>
    </row>
    <row r="131" spans="4:8" ht="21.75" hidden="1" customHeight="1" x14ac:dyDescent="0.25">
      <c r="D131" s="1" t="s">
        <v>157</v>
      </c>
      <c r="E131" s="31" t="s">
        <v>522</v>
      </c>
      <c r="F131" s="31" t="s">
        <v>706</v>
      </c>
      <c r="G131" s="33" t="s">
        <v>1040</v>
      </c>
      <c r="H131" s="32" t="str">
        <f t="shared" ref="H131:H194" si="2">HYPERLINK(G131)</f>
        <v>https://www.egx.com.eg/ar/NewsList.aspx?ISIN=EGS300L1C011</v>
      </c>
    </row>
    <row r="132" spans="4:8" ht="21.75" hidden="1" customHeight="1" x14ac:dyDescent="0.25">
      <c r="D132" s="1" t="s">
        <v>20</v>
      </c>
      <c r="E132" s="31" t="s">
        <v>523</v>
      </c>
      <c r="F132" s="31" t="s">
        <v>670</v>
      </c>
      <c r="G132" s="33" t="s">
        <v>1041</v>
      </c>
      <c r="H132" s="32" t="str">
        <f t="shared" si="2"/>
        <v>https://www.egx.com.eg/ar/NewsList.aspx?ISIN=EGS3E1E1C013</v>
      </c>
    </row>
    <row r="133" spans="4:8" ht="21.75" hidden="1" customHeight="1" x14ac:dyDescent="0.25">
      <c r="D133" s="1" t="s">
        <v>158</v>
      </c>
      <c r="E133" s="31" t="s">
        <v>276</v>
      </c>
      <c r="F133" s="31" t="s">
        <v>752</v>
      </c>
      <c r="G133" s="33" t="s">
        <v>1042</v>
      </c>
      <c r="H133" s="32" t="str">
        <f t="shared" si="2"/>
        <v>https://www.egx.com.eg/ar/NewsList.aspx?ISIN=EGS673T1C012</v>
      </c>
    </row>
    <row r="134" spans="4:8" ht="21.75" hidden="1" customHeight="1" x14ac:dyDescent="0.25">
      <c r="D134" s="1" t="s">
        <v>160</v>
      </c>
      <c r="E134" s="31" t="s">
        <v>237</v>
      </c>
      <c r="F134" s="31" t="s">
        <v>808</v>
      </c>
      <c r="G134" s="33" t="s">
        <v>1043</v>
      </c>
      <c r="H134" s="32" t="str">
        <f t="shared" si="2"/>
        <v>https://www.egx.com.eg/ar/NewsList.aspx?ISIN=EGS691S1C011</v>
      </c>
    </row>
    <row r="135" spans="4:8" ht="21.75" hidden="1" customHeight="1" x14ac:dyDescent="0.25">
      <c r="D135" s="1" t="s">
        <v>161</v>
      </c>
      <c r="E135" s="31" t="s">
        <v>524</v>
      </c>
      <c r="F135" s="31" t="s">
        <v>725</v>
      </c>
      <c r="G135" s="33" t="s">
        <v>1044</v>
      </c>
      <c r="H135" s="32" t="str">
        <f t="shared" si="2"/>
        <v>https://www.egx.com.eg/ar/NewsList.aspx?ISIN=EGS691A1C011</v>
      </c>
    </row>
    <row r="136" spans="4:8" ht="21.75" hidden="1" customHeight="1" x14ac:dyDescent="0.25">
      <c r="D136" s="1" t="s">
        <v>441</v>
      </c>
      <c r="E136" s="31" t="s">
        <v>906</v>
      </c>
      <c r="F136" s="31" t="s">
        <v>633</v>
      </c>
      <c r="G136" s="33" t="s">
        <v>1045</v>
      </c>
      <c r="H136" s="32" t="str">
        <f t="shared" si="2"/>
        <v>https://www.egx.com.eg/ar/NewsList.aspx?ISIN=EGS735N2C012</v>
      </c>
    </row>
    <row r="137" spans="4:8" ht="21.75" hidden="1" customHeight="1" x14ac:dyDescent="0.25">
      <c r="D137" s="1" t="s">
        <v>163</v>
      </c>
      <c r="E137" s="31" t="s">
        <v>526</v>
      </c>
      <c r="F137" s="31" t="s">
        <v>767</v>
      </c>
      <c r="G137" s="33" t="s">
        <v>1046</v>
      </c>
      <c r="H137" s="32" t="str">
        <f t="shared" si="2"/>
        <v>https://www.egx.com.eg/ar/NewsList.aspx?ISIN=EGS370W1C013</v>
      </c>
    </row>
    <row r="138" spans="4:8" ht="21.75" hidden="1" customHeight="1" x14ac:dyDescent="0.25">
      <c r="D138" s="1" t="s">
        <v>164</v>
      </c>
      <c r="E138" s="31" t="s">
        <v>527</v>
      </c>
      <c r="F138" s="31" t="s">
        <v>606</v>
      </c>
      <c r="G138" s="33" t="s">
        <v>1047</v>
      </c>
      <c r="H138" s="32" t="str">
        <f t="shared" si="2"/>
        <v>https://www.egx.com.eg/ar/NewsList.aspx?ISIN=EGS691L1C018</v>
      </c>
    </row>
    <row r="139" spans="4:8" ht="21.75" hidden="1" customHeight="1" x14ac:dyDescent="0.25">
      <c r="D139" s="1" t="s">
        <v>442</v>
      </c>
      <c r="E139" s="31" t="s">
        <v>394</v>
      </c>
      <c r="F139" s="31" t="s">
        <v>650</v>
      </c>
      <c r="G139" s="33" t="s">
        <v>1048</v>
      </c>
      <c r="H139" s="32" t="str">
        <f t="shared" si="2"/>
        <v>https://www.egx.com.eg/ar/NewsList.aspx?ISIN=EGS70H02C014</v>
      </c>
    </row>
    <row r="140" spans="4:8" ht="21.75" hidden="1" customHeight="1" x14ac:dyDescent="0.25">
      <c r="D140" s="1" t="s">
        <v>166</v>
      </c>
      <c r="E140" s="31" t="s">
        <v>350</v>
      </c>
      <c r="F140" s="31" t="s">
        <v>617</v>
      </c>
      <c r="G140" s="33" t="s">
        <v>1049</v>
      </c>
      <c r="H140" s="32" t="str">
        <f t="shared" si="2"/>
        <v>https://www.egx.com.eg/ar/NewsList.aspx?ISIN=EGS380P1C010</v>
      </c>
    </row>
    <row r="141" spans="4:8" ht="21.75" hidden="1" customHeight="1" x14ac:dyDescent="0.25">
      <c r="D141" s="1" t="s">
        <v>83</v>
      </c>
      <c r="E141" s="31" t="s">
        <v>528</v>
      </c>
      <c r="F141" s="31" t="s">
        <v>830</v>
      </c>
      <c r="G141" s="33" t="s">
        <v>1050</v>
      </c>
      <c r="H141" s="32" t="str">
        <f t="shared" si="2"/>
        <v>https://www.egx.com.eg/ar/NewsList.aspx?ISIN=EGS30361C017</v>
      </c>
    </row>
    <row r="142" spans="4:8" ht="21.75" hidden="1" customHeight="1" x14ac:dyDescent="0.25">
      <c r="D142" s="1" t="s">
        <v>84</v>
      </c>
      <c r="E142" s="31" t="s">
        <v>529</v>
      </c>
      <c r="F142" s="31" t="s">
        <v>828</v>
      </c>
      <c r="G142" s="33" t="s">
        <v>1051</v>
      </c>
      <c r="H142" s="32" t="str">
        <f t="shared" si="2"/>
        <v>https://www.egx.com.eg/ar/NewsList.aspx?ISIN=EGS30471C014</v>
      </c>
    </row>
    <row r="143" spans="4:8" ht="21.75" hidden="1" customHeight="1" x14ac:dyDescent="0.25">
      <c r="D143" s="1" t="s">
        <v>21</v>
      </c>
      <c r="E143" s="31" t="s">
        <v>530</v>
      </c>
      <c r="F143" s="31" t="s">
        <v>825</v>
      </c>
      <c r="G143" s="33" t="s">
        <v>1052</v>
      </c>
      <c r="H143" s="32" t="str">
        <f t="shared" si="2"/>
        <v>https://www.egx.com.eg/ar/NewsList.aspx?ISIN=EGS30451C016</v>
      </c>
    </row>
    <row r="144" spans="4:8" ht="21.75" hidden="1" customHeight="1" x14ac:dyDescent="0.25">
      <c r="D144" s="1" t="s">
        <v>85</v>
      </c>
      <c r="E144" s="31" t="s">
        <v>406</v>
      </c>
      <c r="F144" s="31" t="s">
        <v>827</v>
      </c>
      <c r="G144" s="33" t="s">
        <v>1053</v>
      </c>
      <c r="H144" s="32" t="str">
        <f t="shared" si="2"/>
        <v>https://www.egx.com.eg/ar/NewsList.aspx?ISIN=EGS30421C019</v>
      </c>
    </row>
    <row r="145" spans="4:8" ht="21.75" hidden="1" customHeight="1" x14ac:dyDescent="0.25">
      <c r="D145" s="1" t="s">
        <v>86</v>
      </c>
      <c r="E145" s="31" t="s">
        <v>531</v>
      </c>
      <c r="F145" s="31" t="s">
        <v>826</v>
      </c>
      <c r="G145" s="33" t="s">
        <v>1054</v>
      </c>
      <c r="H145" s="32" t="str">
        <f t="shared" si="2"/>
        <v>https://www.egx.com.eg/ar/NewsList.aspx?ISIN=EGS30401C011</v>
      </c>
    </row>
    <row r="146" spans="4:8" ht="21.75" hidden="1" customHeight="1" x14ac:dyDescent="0.25">
      <c r="D146" s="1" t="s">
        <v>170</v>
      </c>
      <c r="E146" s="31" t="s">
        <v>532</v>
      </c>
      <c r="F146" s="31" t="s">
        <v>681</v>
      </c>
      <c r="G146" s="33" t="s">
        <v>1055</v>
      </c>
      <c r="H146" s="32" t="str">
        <f t="shared" si="2"/>
        <v>https://www.egx.com.eg/ar/NewsList.aspx?ISIN=EGS30581C010</v>
      </c>
    </row>
    <row r="147" spans="4:8" ht="21.75" hidden="1" customHeight="1" x14ac:dyDescent="0.25">
      <c r="D147" s="1" t="s">
        <v>172</v>
      </c>
      <c r="E147" s="31" t="s">
        <v>533</v>
      </c>
      <c r="F147" s="31" t="s">
        <v>750</v>
      </c>
      <c r="G147" s="33" t="s">
        <v>1056</v>
      </c>
      <c r="H147" s="32" t="str">
        <f t="shared" si="2"/>
        <v>https://www.egx.com.eg/ar/NewsList.aspx?ISIN=EGS32161C019</v>
      </c>
    </row>
    <row r="148" spans="4:8" ht="21.75" hidden="1" customHeight="1" x14ac:dyDescent="0.25">
      <c r="D148" s="1" t="s">
        <v>87</v>
      </c>
      <c r="E148" s="31" t="s">
        <v>534</v>
      </c>
      <c r="F148" s="31" t="s">
        <v>665</v>
      </c>
      <c r="G148" s="33" t="s">
        <v>1057</v>
      </c>
      <c r="H148" s="32" t="str">
        <f t="shared" si="2"/>
        <v>https://www.egx.com.eg/ar/NewsList.aspx?ISIN=EGS32221C011</v>
      </c>
    </row>
    <row r="149" spans="4:8" ht="21.75" hidden="1" customHeight="1" x14ac:dyDescent="0.25">
      <c r="D149" s="1" t="s">
        <v>89</v>
      </c>
      <c r="E149" s="31" t="s">
        <v>319</v>
      </c>
      <c r="F149" s="31" t="s">
        <v>705</v>
      </c>
      <c r="G149" s="33" t="s">
        <v>1058</v>
      </c>
      <c r="H149" s="32" t="str">
        <f t="shared" si="2"/>
        <v>https://www.egx.com.eg/ar/NewsList.aspx?ISIN=EGS33041C012</v>
      </c>
    </row>
    <row r="150" spans="4:8" ht="21.75" hidden="1" customHeight="1" x14ac:dyDescent="0.25">
      <c r="D150" s="1" t="s">
        <v>174</v>
      </c>
      <c r="E150" s="31" t="s">
        <v>535</v>
      </c>
      <c r="F150" s="31" t="s">
        <v>700</v>
      </c>
      <c r="G150" s="33" t="s">
        <v>1059</v>
      </c>
      <c r="H150" s="32" t="str">
        <f t="shared" si="2"/>
        <v>https://www.egx.com.eg/ar/NewsList.aspx?ISIN=EGS65341C017</v>
      </c>
    </row>
    <row r="151" spans="4:8" ht="21.75" hidden="1" customHeight="1" x14ac:dyDescent="0.25">
      <c r="D151" s="1" t="s">
        <v>90</v>
      </c>
      <c r="E151" s="31" t="s">
        <v>536</v>
      </c>
      <c r="F151" s="31" t="s">
        <v>666</v>
      </c>
      <c r="G151" s="33" t="s">
        <v>1060</v>
      </c>
      <c r="H151" s="32" t="str">
        <f t="shared" si="2"/>
        <v>https://www.egx.com.eg/ar/NewsList.aspx?ISIN=EGS38321C013</v>
      </c>
    </row>
    <row r="152" spans="4:8" ht="21.75" hidden="1" customHeight="1" x14ac:dyDescent="0.25">
      <c r="D152" s="1" t="s">
        <v>176</v>
      </c>
      <c r="E152" s="31" t="s">
        <v>537</v>
      </c>
      <c r="F152" s="31" t="s">
        <v>821</v>
      </c>
      <c r="G152" s="33" t="s">
        <v>1061</v>
      </c>
      <c r="H152" s="32" t="str">
        <f t="shared" si="2"/>
        <v>https://www.egx.com.eg/ar/NewsList.aspx?ISIN=EGS38421C011</v>
      </c>
    </row>
    <row r="153" spans="4:8" ht="21.75" hidden="1" customHeight="1" x14ac:dyDescent="0.25">
      <c r="D153" s="1" t="s">
        <v>91</v>
      </c>
      <c r="E153" s="31" t="s">
        <v>407</v>
      </c>
      <c r="F153" s="31" t="s">
        <v>677</v>
      </c>
      <c r="G153" s="33" t="s">
        <v>1062</v>
      </c>
      <c r="H153" s="32" t="str">
        <f t="shared" si="2"/>
        <v>https://www.egx.com.eg/ar/NewsList.aspx?ISIN=EGS38391C016</v>
      </c>
    </row>
    <row r="154" spans="4:8" ht="21.75" hidden="1" customHeight="1" x14ac:dyDescent="0.25">
      <c r="D154" s="1" t="s">
        <v>121</v>
      </c>
      <c r="E154" s="31" t="s">
        <v>297</v>
      </c>
      <c r="F154" s="31" t="s">
        <v>687</v>
      </c>
      <c r="G154" s="33" t="s">
        <v>1063</v>
      </c>
      <c r="H154" s="32" t="str">
        <f t="shared" si="2"/>
        <v>https://www.egx.com.eg/ar/NewsList.aspx?ISIN=EGS38381C017</v>
      </c>
    </row>
    <row r="155" spans="4:8" ht="21.75" hidden="1" customHeight="1" x14ac:dyDescent="0.25">
      <c r="D155" s="1" t="s">
        <v>23</v>
      </c>
      <c r="E155" s="31" t="s">
        <v>372</v>
      </c>
      <c r="F155" s="31" t="s">
        <v>788</v>
      </c>
      <c r="G155" s="33" t="s">
        <v>1064</v>
      </c>
      <c r="H155" s="32" t="str">
        <f t="shared" si="2"/>
        <v>https://www.egx.com.eg/ar/NewsList.aspx?ISIN=EGS39011C019</v>
      </c>
    </row>
    <row r="156" spans="4:8" ht="21.75" hidden="1" customHeight="1" x14ac:dyDescent="0.25">
      <c r="D156" s="1" t="s">
        <v>178</v>
      </c>
      <c r="E156" s="31" t="s">
        <v>538</v>
      </c>
      <c r="F156" s="31" t="s">
        <v>661</v>
      </c>
      <c r="G156" s="33" t="s">
        <v>1065</v>
      </c>
      <c r="H156" s="32" t="str">
        <f t="shared" si="2"/>
        <v>https://www.egx.com.eg/ar/NewsList.aspx?ISIN=EGS3C111C019</v>
      </c>
    </row>
    <row r="157" spans="4:8" ht="21.75" hidden="1" customHeight="1" x14ac:dyDescent="0.25">
      <c r="D157" s="1" t="s">
        <v>179</v>
      </c>
      <c r="E157" s="31" t="s">
        <v>539</v>
      </c>
      <c r="F157" s="31" t="s">
        <v>674</v>
      </c>
      <c r="G157" s="33" t="s">
        <v>1066</v>
      </c>
      <c r="H157" s="32" t="str">
        <f t="shared" si="2"/>
        <v>https://www.egx.com.eg/ar/NewsList.aspx?ISIN=EGS3C071C015</v>
      </c>
    </row>
    <row r="158" spans="4:8" ht="21.75" hidden="1" customHeight="1" x14ac:dyDescent="0.25">
      <c r="D158" s="1" t="s">
        <v>180</v>
      </c>
      <c r="E158" s="31" t="s">
        <v>540</v>
      </c>
      <c r="F158" s="31" t="s">
        <v>668</v>
      </c>
      <c r="G158" s="33" t="s">
        <v>1067</v>
      </c>
      <c r="H158" s="32" t="str">
        <f t="shared" si="2"/>
        <v>https://www.egx.com.eg/ar/NewsList.aspx?ISIN=EGS3C151C015</v>
      </c>
    </row>
    <row r="159" spans="4:8" ht="21.75" hidden="1" customHeight="1" x14ac:dyDescent="0.25">
      <c r="D159" s="1" t="s">
        <v>16</v>
      </c>
      <c r="E159" s="31" t="s">
        <v>310</v>
      </c>
      <c r="F159" s="31" t="s">
        <v>607</v>
      </c>
      <c r="G159" s="33" t="s">
        <v>1068</v>
      </c>
      <c r="H159" s="32" t="str">
        <f t="shared" si="2"/>
        <v>https://www.egx.com.eg/ar/NewsList.aspx?ISIN=EGS3C401C014</v>
      </c>
    </row>
    <row r="160" spans="4:8" ht="21.75" hidden="1" customHeight="1" x14ac:dyDescent="0.25">
      <c r="D160" s="1" t="s">
        <v>181</v>
      </c>
      <c r="E160" s="31" t="s">
        <v>317</v>
      </c>
      <c r="F160" s="31" t="s">
        <v>815</v>
      </c>
      <c r="G160" s="33" t="s">
        <v>1069</v>
      </c>
      <c r="H160" s="32" t="str">
        <f t="shared" si="2"/>
        <v>https://www.egx.com.eg/ar/NewsList.aspx?ISIN=EGS3C371C019</v>
      </c>
    </row>
    <row r="161" spans="4:8" ht="21.75" hidden="1" customHeight="1" x14ac:dyDescent="0.25">
      <c r="D161" s="1" t="s">
        <v>182</v>
      </c>
      <c r="E161" s="31" t="s">
        <v>402</v>
      </c>
      <c r="F161" s="31" t="s">
        <v>745</v>
      </c>
      <c r="G161" s="33" t="s">
        <v>1070</v>
      </c>
      <c r="H161" s="32" t="str">
        <f t="shared" si="2"/>
        <v>https://www.egx.com.eg/ar/NewsList.aspx?ISIN=EGS3C351C011</v>
      </c>
    </row>
    <row r="162" spans="4:8" ht="21.75" hidden="1" customHeight="1" x14ac:dyDescent="0.25">
      <c r="D162" s="1" t="s">
        <v>14</v>
      </c>
      <c r="E162" s="31" t="s">
        <v>365</v>
      </c>
      <c r="F162" s="31" t="s">
        <v>637</v>
      </c>
      <c r="G162" s="33" t="s">
        <v>1071</v>
      </c>
      <c r="H162" s="32" t="str">
        <f t="shared" si="2"/>
        <v>https://www.egx.com.eg/ar/NewsList.aspx?ISIN=EGS30201C015</v>
      </c>
    </row>
    <row r="163" spans="4:8" ht="21.75" hidden="1" customHeight="1" x14ac:dyDescent="0.25">
      <c r="D163" s="1" t="s">
        <v>183</v>
      </c>
      <c r="E163" s="31" t="s">
        <v>541</v>
      </c>
      <c r="F163" s="31" t="s">
        <v>648</v>
      </c>
      <c r="G163" s="33" t="s">
        <v>1072</v>
      </c>
      <c r="H163" s="32" t="str">
        <f t="shared" si="2"/>
        <v>https://www.egx.com.eg/ar/NewsList.aspx?ISIN=EGS30291C016</v>
      </c>
    </row>
    <row r="164" spans="4:8" ht="21.75" hidden="1" customHeight="1" x14ac:dyDescent="0.25">
      <c r="D164" s="1" t="s">
        <v>185</v>
      </c>
      <c r="E164" s="31" t="s">
        <v>542</v>
      </c>
      <c r="F164" s="31" t="s">
        <v>613</v>
      </c>
      <c r="G164" s="33" t="s">
        <v>1073</v>
      </c>
      <c r="H164" s="32" t="str">
        <f t="shared" si="2"/>
        <v>https://www.egx.com.eg/ar/NewsList.aspx?ISIN=EGS65011C016</v>
      </c>
    </row>
    <row r="165" spans="4:8" ht="21.75" hidden="1" customHeight="1" x14ac:dyDescent="0.25">
      <c r="D165" s="1" t="s">
        <v>26</v>
      </c>
      <c r="E165" s="31" t="s">
        <v>373</v>
      </c>
      <c r="F165" s="31" t="s">
        <v>704</v>
      </c>
      <c r="G165" s="33" t="s">
        <v>1074</v>
      </c>
      <c r="H165" s="32" t="str">
        <f t="shared" si="2"/>
        <v>https://www.egx.com.eg/ar/NewsList.aspx?ISIN=EGS63041C015</v>
      </c>
    </row>
    <row r="166" spans="4:8" ht="21.75" hidden="1" customHeight="1" x14ac:dyDescent="0.25">
      <c r="D166" s="1" t="s">
        <v>187</v>
      </c>
      <c r="E166" s="31" t="s">
        <v>543</v>
      </c>
      <c r="F166" s="31" t="s">
        <v>676</v>
      </c>
      <c r="G166" s="33" t="s">
        <v>1075</v>
      </c>
      <c r="H166" s="32" t="str">
        <f t="shared" si="2"/>
        <v>https://www.egx.com.eg/ar/NewsList.aspx?ISIN=EGS69011C012</v>
      </c>
    </row>
    <row r="167" spans="4:8" ht="21.75" hidden="1" customHeight="1" x14ac:dyDescent="0.25">
      <c r="D167" s="1" t="s">
        <v>98</v>
      </c>
      <c r="E167" s="31" t="s">
        <v>264</v>
      </c>
      <c r="F167" s="31" t="s">
        <v>806</v>
      </c>
      <c r="G167" s="33" t="s">
        <v>1076</v>
      </c>
      <c r="H167" s="32" t="str">
        <f t="shared" si="2"/>
        <v>https://www.egx.com.eg/ar/NewsList.aspx?ISIN=EGS69101C011</v>
      </c>
    </row>
    <row r="168" spans="4:8" ht="21.75" hidden="1" customHeight="1" x14ac:dyDescent="0.25">
      <c r="D168" s="1" t="s">
        <v>443</v>
      </c>
      <c r="E168" s="31" t="s">
        <v>544</v>
      </c>
      <c r="F168" s="31" t="s">
        <v>636</v>
      </c>
      <c r="G168" s="33" t="s">
        <v>1077</v>
      </c>
      <c r="H168" s="32" t="str">
        <f t="shared" si="2"/>
        <v>https://www.egx.com.eg/ar/NewsList.aspx?ISIN=EGS63031C016</v>
      </c>
    </row>
    <row r="169" spans="4:8" ht="21.75" hidden="1" customHeight="1" x14ac:dyDescent="0.25">
      <c r="D169" s="1" t="s">
        <v>188</v>
      </c>
      <c r="E169" s="31" t="s">
        <v>545</v>
      </c>
      <c r="F169" s="31" t="s">
        <v>712</v>
      </c>
      <c r="G169" s="33" t="s">
        <v>1078</v>
      </c>
      <c r="H169" s="32" t="str">
        <f t="shared" si="2"/>
        <v>https://www.egx.com.eg/ar/NewsList.aspx?ISIN=EGS65131C012</v>
      </c>
    </row>
    <row r="170" spans="4:8" ht="21.75" hidden="1" customHeight="1" x14ac:dyDescent="0.25">
      <c r="D170" s="1" t="s">
        <v>190</v>
      </c>
      <c r="E170" s="31" t="s">
        <v>546</v>
      </c>
      <c r="F170" s="31" t="s">
        <v>678</v>
      </c>
      <c r="G170" s="33" t="s">
        <v>1079</v>
      </c>
      <c r="H170" s="32" t="str">
        <f t="shared" si="2"/>
        <v>https://www.egx.com.eg/ar/NewsList.aspx?ISIN=EGS65071C010</v>
      </c>
    </row>
    <row r="171" spans="4:8" ht="21.75" hidden="1" customHeight="1" x14ac:dyDescent="0.25">
      <c r="D171" s="1" t="s">
        <v>100</v>
      </c>
      <c r="E171" s="31" t="s">
        <v>547</v>
      </c>
      <c r="F171" s="31" t="s">
        <v>689</v>
      </c>
      <c r="G171" s="33" t="s">
        <v>1080</v>
      </c>
      <c r="H171" s="32" t="str">
        <f t="shared" si="2"/>
        <v>https://www.egx.com.eg/ar/NewsList.aspx?ISIN=EGS65211C012</v>
      </c>
    </row>
    <row r="172" spans="4:8" ht="21.75" hidden="1" customHeight="1" x14ac:dyDescent="0.25">
      <c r="D172" s="1" t="s">
        <v>192</v>
      </c>
      <c r="E172" s="31" t="s">
        <v>548</v>
      </c>
      <c r="F172" s="31" t="s">
        <v>773</v>
      </c>
      <c r="G172" s="33" t="s">
        <v>1081</v>
      </c>
      <c r="H172" s="32" t="str">
        <f t="shared" si="2"/>
        <v>https://www.egx.com.eg/ar/NewsList.aspx?ISIN=EGS70281C018</v>
      </c>
    </row>
    <row r="173" spans="4:8" ht="21.75" hidden="1" customHeight="1" x14ac:dyDescent="0.25">
      <c r="D173" s="1" t="s">
        <v>269</v>
      </c>
      <c r="E173" s="31" t="s">
        <v>268</v>
      </c>
      <c r="F173" s="31" t="s">
        <v>749</v>
      </c>
      <c r="G173" s="33" t="s">
        <v>1082</v>
      </c>
      <c r="H173" s="32" t="str">
        <f t="shared" si="2"/>
        <v>https://www.egx.com.eg/ar/NewsList.aspx?ISIN=EGS70342C018</v>
      </c>
    </row>
    <row r="174" spans="4:8" ht="21.75" hidden="1" customHeight="1" x14ac:dyDescent="0.25">
      <c r="D174" s="1" t="s">
        <v>193</v>
      </c>
      <c r="E174" s="31" t="s">
        <v>398</v>
      </c>
      <c r="F174" s="31" t="s">
        <v>740</v>
      </c>
      <c r="G174" s="33" t="s">
        <v>1083</v>
      </c>
      <c r="H174" s="32" t="str">
        <f t="shared" si="2"/>
        <v>https://www.egx.com.eg/ar/NewsList.aspx?ISIN=EGS70331C011</v>
      </c>
    </row>
    <row r="175" spans="4:8" ht="21.75" hidden="1" customHeight="1" x14ac:dyDescent="0.25">
      <c r="D175" s="1" t="s">
        <v>194</v>
      </c>
      <c r="E175" s="31" t="s">
        <v>356</v>
      </c>
      <c r="F175" s="31" t="s">
        <v>697</v>
      </c>
      <c r="G175" s="33" t="s">
        <v>1084</v>
      </c>
      <c r="H175" s="32" t="str">
        <f t="shared" si="2"/>
        <v>https://www.egx.com.eg/ar/NewsList.aspx?ISIN=EGS70431C019</v>
      </c>
    </row>
    <row r="176" spans="4:8" ht="21.75" hidden="1" customHeight="1" x14ac:dyDescent="0.25">
      <c r="D176" s="1" t="s">
        <v>3</v>
      </c>
      <c r="E176" s="31" t="s">
        <v>549</v>
      </c>
      <c r="F176" s="31" t="s">
        <v>812</v>
      </c>
      <c r="G176" s="33" t="s">
        <v>1085</v>
      </c>
      <c r="H176" s="32" t="str">
        <f t="shared" si="2"/>
        <v>https://www.egx.com.eg/ar/NewsList.aspx?ISIN=EGS72011C017</v>
      </c>
    </row>
    <row r="177" spans="4:8" ht="21.75" hidden="1" customHeight="1" x14ac:dyDescent="0.25">
      <c r="D177" s="1" t="s">
        <v>102</v>
      </c>
      <c r="E177" s="31" t="s">
        <v>550</v>
      </c>
      <c r="F177" s="31" t="s">
        <v>675</v>
      </c>
      <c r="G177" s="33" t="s">
        <v>1086</v>
      </c>
      <c r="H177" s="32" t="str">
        <f t="shared" si="2"/>
        <v>https://www.egx.com.eg/ar/NewsList.aspx?ISIN=EGS65461C013</v>
      </c>
    </row>
    <row r="178" spans="4:8" ht="21.75" hidden="1" customHeight="1" x14ac:dyDescent="0.25">
      <c r="D178" s="1" t="s">
        <v>196</v>
      </c>
      <c r="E178" s="31" t="s">
        <v>314</v>
      </c>
      <c r="F178" s="31" t="s">
        <v>813</v>
      </c>
      <c r="G178" s="33" t="s">
        <v>1087</v>
      </c>
      <c r="H178" s="32" t="str">
        <f t="shared" si="2"/>
        <v>https://www.egx.com.eg/ar/NewsList.aspx?ISIN=EGS65591C017</v>
      </c>
    </row>
    <row r="179" spans="4:8" ht="21.75" hidden="1" customHeight="1" x14ac:dyDescent="0.25">
      <c r="D179" s="1" t="s">
        <v>103</v>
      </c>
      <c r="E179" s="31" t="s">
        <v>333</v>
      </c>
      <c r="F179" s="31" t="s">
        <v>809</v>
      </c>
      <c r="G179" s="33" t="s">
        <v>1088</v>
      </c>
      <c r="H179" s="32" t="str">
        <f t="shared" si="2"/>
        <v>https://www.egx.com.eg/ar/NewsList.aspx?ISIN=EGS65571C019</v>
      </c>
    </row>
    <row r="180" spans="4:8" ht="21.75" hidden="1" customHeight="1" x14ac:dyDescent="0.25">
      <c r="D180" s="1" t="s">
        <v>198</v>
      </c>
      <c r="E180" s="31" t="s">
        <v>339</v>
      </c>
      <c r="F180" s="31" t="s">
        <v>682</v>
      </c>
      <c r="G180" s="33" t="s">
        <v>1089</v>
      </c>
      <c r="H180" s="32" t="str">
        <f t="shared" si="2"/>
        <v>https://www.egx.com.eg/ar/NewsList.aspx?ISIN=EGS65541C012</v>
      </c>
    </row>
    <row r="181" spans="4:8" ht="21.75" hidden="1" customHeight="1" x14ac:dyDescent="0.25">
      <c r="D181" s="1" t="s">
        <v>122</v>
      </c>
      <c r="E181" s="31" t="s">
        <v>551</v>
      </c>
      <c r="F181" s="31" t="s">
        <v>664</v>
      </c>
      <c r="G181" s="33" t="s">
        <v>1090</v>
      </c>
      <c r="H181" s="32" t="str">
        <f t="shared" si="2"/>
        <v>https://www.egx.com.eg/ar/NewsList.aspx?ISIN=EGS65771C015</v>
      </c>
    </row>
    <row r="182" spans="4:8" ht="21.75" hidden="1" customHeight="1" x14ac:dyDescent="0.25">
      <c r="D182" s="1" t="s">
        <v>199</v>
      </c>
      <c r="E182" s="31" t="s">
        <v>552</v>
      </c>
      <c r="F182" s="31" t="s">
        <v>643</v>
      </c>
      <c r="G182" s="33" t="s">
        <v>1091</v>
      </c>
      <c r="H182" s="32" t="str">
        <f t="shared" si="2"/>
        <v>https://www.egx.com.eg/ar/NewsList.aspx?ISIN=EGS67031C012</v>
      </c>
    </row>
    <row r="183" spans="4:8" ht="21.75" hidden="1" customHeight="1" x14ac:dyDescent="0.25">
      <c r="D183" s="1" t="s">
        <v>444</v>
      </c>
      <c r="E183" s="31" t="s">
        <v>553</v>
      </c>
      <c r="F183" s="31" t="s">
        <v>644</v>
      </c>
      <c r="G183" s="33" t="s">
        <v>1092</v>
      </c>
      <c r="H183" s="32" t="str">
        <f t="shared" si="2"/>
        <v>https://www.egx.com.eg/ar/NewsList.aspx?ISIN=EGS67032C010</v>
      </c>
    </row>
    <row r="184" spans="4:8" ht="21.75" hidden="1" customHeight="1" x14ac:dyDescent="0.25">
      <c r="D184" s="1" t="s">
        <v>56</v>
      </c>
      <c r="E184" s="31" t="s">
        <v>554</v>
      </c>
      <c r="F184" s="31" t="s">
        <v>657</v>
      </c>
      <c r="G184" s="33" t="s">
        <v>1093</v>
      </c>
      <c r="H184" s="32" t="str">
        <f t="shared" si="2"/>
        <v>https://www.egx.com.eg/ar/NewsList.aspx?ISIN=EGS67191C014</v>
      </c>
    </row>
    <row r="185" spans="4:8" ht="21.75" hidden="1" customHeight="1" x14ac:dyDescent="0.25">
      <c r="D185" s="1" t="s">
        <v>422</v>
      </c>
      <c r="E185" s="31" t="s">
        <v>555</v>
      </c>
      <c r="F185" s="31" t="s">
        <v>716</v>
      </c>
      <c r="G185" s="33" t="s">
        <v>1094</v>
      </c>
      <c r="H185" s="32" t="str">
        <f t="shared" si="2"/>
        <v>https://www.egx.com.eg/ar/NewsList.aspx?ISIN=EGS67181C015</v>
      </c>
    </row>
    <row r="186" spans="4:8" ht="21.75" hidden="1" customHeight="1" x14ac:dyDescent="0.25">
      <c r="D186" s="1" t="s">
        <v>105</v>
      </c>
      <c r="E186" s="31" t="s">
        <v>556</v>
      </c>
      <c r="F186" s="31" t="s">
        <v>609</v>
      </c>
      <c r="G186" s="33" t="s">
        <v>1095</v>
      </c>
      <c r="H186" s="32" t="str">
        <f t="shared" si="2"/>
        <v>https://www.egx.com.eg/ar/NewsList.aspx?ISIN=EGS68181C014</v>
      </c>
    </row>
    <row r="187" spans="4:8" ht="21.75" hidden="1" customHeight="1" x14ac:dyDescent="0.25">
      <c r="D187" s="1" t="s">
        <v>202</v>
      </c>
      <c r="E187" s="31" t="s">
        <v>270</v>
      </c>
      <c r="F187" s="31" t="s">
        <v>631</v>
      </c>
      <c r="G187" s="33" t="s">
        <v>1096</v>
      </c>
      <c r="H187" s="32" t="str">
        <f t="shared" si="2"/>
        <v>https://www.egx.com.eg/ar/NewsList.aspx?ISIN=EGS3D061C015</v>
      </c>
    </row>
    <row r="188" spans="4:8" ht="21.75" hidden="1" customHeight="1" x14ac:dyDescent="0.25">
      <c r="D188" s="1" t="s">
        <v>12</v>
      </c>
      <c r="E188" s="31" t="s">
        <v>557</v>
      </c>
      <c r="F188" s="31" t="s">
        <v>623</v>
      </c>
      <c r="G188" s="33" t="s">
        <v>1097</v>
      </c>
      <c r="H188" s="32" t="str">
        <f t="shared" si="2"/>
        <v>https://www.egx.com.eg/ar/NewsList.aspx?ISIN=EGS3D031C018</v>
      </c>
    </row>
    <row r="189" spans="4:8" ht="21.75" hidden="1" customHeight="1" x14ac:dyDescent="0.25">
      <c r="D189" s="1" t="s">
        <v>203</v>
      </c>
      <c r="E189" s="31" t="s">
        <v>363</v>
      </c>
      <c r="F189" s="31" t="s">
        <v>653</v>
      </c>
      <c r="G189" s="33" t="s">
        <v>1098</v>
      </c>
      <c r="H189" s="32" t="str">
        <f t="shared" si="2"/>
        <v>https://www.egx.com.eg/ar/NewsList.aspx?ISIN=EGS30031C016</v>
      </c>
    </row>
    <row r="190" spans="4:8" ht="21.75" hidden="1" customHeight="1" x14ac:dyDescent="0.25">
      <c r="D190" s="1" t="s">
        <v>204</v>
      </c>
      <c r="E190" s="31" t="s">
        <v>366</v>
      </c>
      <c r="F190" s="31" t="s">
        <v>616</v>
      </c>
      <c r="G190" s="33" t="s">
        <v>1099</v>
      </c>
      <c r="H190" s="32" t="str">
        <f t="shared" si="2"/>
        <v>https://www.egx.com.eg/ar/NewsList.aspx?ISIN=EGS72081C010</v>
      </c>
    </row>
    <row r="191" spans="4:8" ht="21.75" hidden="1" customHeight="1" x14ac:dyDescent="0.25">
      <c r="D191" s="1" t="s">
        <v>205</v>
      </c>
      <c r="E191" s="31" t="s">
        <v>558</v>
      </c>
      <c r="F191" s="31" t="s">
        <v>679</v>
      </c>
      <c r="G191" s="33" t="s">
        <v>1100</v>
      </c>
      <c r="H191" s="32" t="str">
        <f t="shared" si="2"/>
        <v>https://www.egx.com.eg/ar/NewsList.aspx?ISIN=EGS72201C014</v>
      </c>
    </row>
    <row r="192" spans="4:8" ht="21.75" hidden="1" customHeight="1" x14ac:dyDescent="0.25">
      <c r="D192" s="1" t="s">
        <v>107</v>
      </c>
      <c r="E192" s="31" t="s">
        <v>385</v>
      </c>
      <c r="F192" s="31" t="s">
        <v>699</v>
      </c>
      <c r="G192" s="33" t="s">
        <v>1101</v>
      </c>
      <c r="H192" s="32" t="str">
        <f t="shared" si="2"/>
        <v>https://www.egx.com.eg/ar/NewsList.aspx?ISIN=EGS78021C010</v>
      </c>
    </row>
    <row r="193" spans="4:8" ht="21.75" hidden="1" customHeight="1" x14ac:dyDescent="0.25">
      <c r="D193" s="1" t="s">
        <v>445</v>
      </c>
      <c r="E193" s="31" t="s">
        <v>559</v>
      </c>
      <c r="F193" s="31" t="s">
        <v>786</v>
      </c>
      <c r="G193" s="33" t="s">
        <v>1102</v>
      </c>
      <c r="H193" s="32" t="str">
        <f t="shared" si="2"/>
        <v>https://www.egx.com.eg/ar/NewsList.aspx?ISIN=EGS79072C012</v>
      </c>
    </row>
    <row r="194" spans="4:8" ht="21.75" hidden="1" customHeight="1" x14ac:dyDescent="0.25">
      <c r="D194" s="1" t="s">
        <v>206</v>
      </c>
      <c r="E194" s="31" t="s">
        <v>560</v>
      </c>
      <c r="F194" s="31" t="s">
        <v>784</v>
      </c>
      <c r="G194" s="33" t="s">
        <v>1103</v>
      </c>
      <c r="H194" s="32" t="str">
        <f t="shared" si="2"/>
        <v>https://www.egx.com.eg/ar/NewsList.aspx?ISIN=EGS52041C018</v>
      </c>
    </row>
    <row r="195" spans="4:8" ht="21.75" hidden="1" customHeight="1" x14ac:dyDescent="0.25">
      <c r="D195" s="1" t="s">
        <v>27</v>
      </c>
      <c r="E195" s="31" t="s">
        <v>561</v>
      </c>
      <c r="F195" s="31" t="s">
        <v>819</v>
      </c>
      <c r="G195" s="33" t="s">
        <v>1104</v>
      </c>
      <c r="H195" s="32" t="str">
        <f t="shared" ref="H195:H238" si="3">HYPERLINK(G195)</f>
        <v>https://www.egx.com.eg/ar/NewsList.aspx?ISIN=EGS53051C016</v>
      </c>
    </row>
    <row r="196" spans="4:8" ht="21.75" hidden="1" customHeight="1" x14ac:dyDescent="0.25">
      <c r="D196" s="1" t="s">
        <v>207</v>
      </c>
      <c r="E196" s="31" t="s">
        <v>278</v>
      </c>
      <c r="F196" s="31" t="s">
        <v>736</v>
      </c>
      <c r="G196" s="33" t="s">
        <v>1105</v>
      </c>
      <c r="H196" s="32" t="str">
        <f t="shared" si="3"/>
        <v>https://www.egx.com.eg/ar/NewsList.aspx?ISIN=EGS60041C018</v>
      </c>
    </row>
    <row r="197" spans="4:8" ht="21.75" hidden="1" customHeight="1" x14ac:dyDescent="0.25">
      <c r="D197" s="1" t="s">
        <v>208</v>
      </c>
      <c r="E197" s="31" t="s">
        <v>387</v>
      </c>
      <c r="F197" s="31" t="s">
        <v>655</v>
      </c>
      <c r="G197" s="33" t="s">
        <v>1106</v>
      </c>
      <c r="H197" s="32" t="str">
        <f t="shared" si="3"/>
        <v>https://www.egx.com.eg/ar/NewsList.aspx?ISIN=EGS3F021C017</v>
      </c>
    </row>
    <row r="198" spans="4:8" ht="21.75" hidden="1" customHeight="1" x14ac:dyDescent="0.25">
      <c r="D198" s="1" t="s">
        <v>123</v>
      </c>
      <c r="E198" s="31" t="s">
        <v>358</v>
      </c>
      <c r="F198" s="31" t="s">
        <v>686</v>
      </c>
      <c r="G198" s="33" t="s">
        <v>1107</v>
      </c>
      <c r="H198" s="32" t="str">
        <f t="shared" si="3"/>
        <v>https://www.egx.com.eg/ar/NewsList.aspx?ISIN=EGS3G231C011</v>
      </c>
    </row>
    <row r="199" spans="4:8" ht="21.75" hidden="1" customHeight="1" x14ac:dyDescent="0.25">
      <c r="D199" s="1" t="s">
        <v>446</v>
      </c>
      <c r="E199" s="31" t="s">
        <v>562</v>
      </c>
      <c r="F199" s="31" t="s">
        <v>738</v>
      </c>
      <c r="G199" s="33" t="s">
        <v>1108</v>
      </c>
      <c r="H199" s="32" t="str">
        <f t="shared" si="3"/>
        <v>https://www.egx.com.eg/ar/NewsList.aspx?ISIN=EGS42101C013</v>
      </c>
    </row>
    <row r="200" spans="4:8" ht="21.75" hidden="1" customHeight="1" x14ac:dyDescent="0.25">
      <c r="D200" s="1" t="s">
        <v>447</v>
      </c>
      <c r="E200" s="31" t="s">
        <v>341</v>
      </c>
      <c r="F200" s="31" t="s">
        <v>634</v>
      </c>
      <c r="G200" s="33" t="s">
        <v>1109</v>
      </c>
      <c r="H200" s="32" t="str">
        <f t="shared" si="3"/>
        <v>https://www.egx.com.eg/ar/NewsList.aspx?ISIN=EGS44012C010</v>
      </c>
    </row>
    <row r="201" spans="4:8" ht="21.75" hidden="1" customHeight="1" x14ac:dyDescent="0.25">
      <c r="D201" s="1" t="s">
        <v>112</v>
      </c>
      <c r="E201" s="31" t="s">
        <v>252</v>
      </c>
      <c r="F201" s="31" t="s">
        <v>614</v>
      </c>
      <c r="G201" s="33" t="s">
        <v>1110</v>
      </c>
      <c r="H201" s="32" t="str">
        <f t="shared" si="3"/>
        <v>https://www.egx.com.eg/ar/NewsList.aspx?ISIN=EGS42111C012</v>
      </c>
    </row>
    <row r="202" spans="4:8" ht="21.75" hidden="1" customHeight="1" x14ac:dyDescent="0.25">
      <c r="D202" s="1" t="s">
        <v>6</v>
      </c>
      <c r="E202" s="31" t="s">
        <v>241</v>
      </c>
      <c r="F202" s="31" t="s">
        <v>695</v>
      </c>
      <c r="G202" s="33" t="s">
        <v>1111</v>
      </c>
      <c r="H202" s="32" t="str">
        <f t="shared" si="3"/>
        <v>https://www.egx.com.eg/ar/NewsList.aspx?ISIN=EGS48031C016</v>
      </c>
    </row>
    <row r="203" spans="4:8" ht="21.75" hidden="1" customHeight="1" x14ac:dyDescent="0.25">
      <c r="D203" s="1" t="s">
        <v>211</v>
      </c>
      <c r="E203" s="31" t="s">
        <v>563</v>
      </c>
      <c r="F203" s="31" t="s">
        <v>595</v>
      </c>
      <c r="G203" s="33" t="s">
        <v>1112</v>
      </c>
      <c r="H203" s="32" t="str">
        <f t="shared" si="3"/>
        <v>https://www.egx.com.eg/ar/NewsList.aspx?ISIN=EGS676N1C015</v>
      </c>
    </row>
    <row r="204" spans="4:8" ht="21.75" hidden="1" customHeight="1" x14ac:dyDescent="0.25">
      <c r="D204" s="1" t="s">
        <v>212</v>
      </c>
      <c r="E204" s="31" t="s">
        <v>260</v>
      </c>
      <c r="F204" s="31" t="s">
        <v>600</v>
      </c>
      <c r="G204" s="33" t="s">
        <v>1113</v>
      </c>
      <c r="H204" s="32" t="str">
        <f t="shared" si="3"/>
        <v>https://www.egx.com.eg/ar/NewsList.aspx?ISIN=EGS673Y1C015</v>
      </c>
    </row>
    <row r="205" spans="4:8" ht="21.75" hidden="1" customHeight="1" x14ac:dyDescent="0.25">
      <c r="D205" s="1" t="s">
        <v>213</v>
      </c>
      <c r="E205" s="31" t="s">
        <v>245</v>
      </c>
      <c r="F205" s="31" t="s">
        <v>816</v>
      </c>
      <c r="G205" s="33" t="s">
        <v>1114</v>
      </c>
      <c r="H205" s="32" t="str">
        <f t="shared" si="3"/>
        <v>https://www.egx.com.eg/ar/NewsList.aspx?ISIN=EGS39061C014</v>
      </c>
    </row>
    <row r="206" spans="4:8" ht="21.75" hidden="1" customHeight="1" x14ac:dyDescent="0.25">
      <c r="D206" s="1" t="s">
        <v>214</v>
      </c>
      <c r="E206" s="31" t="s">
        <v>564</v>
      </c>
      <c r="F206" s="31" t="s">
        <v>701</v>
      </c>
      <c r="G206" s="33" t="s">
        <v>1115</v>
      </c>
      <c r="H206" s="32" t="str">
        <f t="shared" si="3"/>
        <v>https://www.egx.com.eg/ar/NewsList.aspx?ISIN=EGS694A1C018</v>
      </c>
    </row>
    <row r="207" spans="4:8" ht="21.75" hidden="1" customHeight="1" x14ac:dyDescent="0.25">
      <c r="D207" s="1" t="s">
        <v>215</v>
      </c>
      <c r="E207" s="31" t="s">
        <v>565</v>
      </c>
      <c r="F207" s="31" t="s">
        <v>626</v>
      </c>
      <c r="G207" s="33" t="s">
        <v>1116</v>
      </c>
      <c r="H207" s="32" t="str">
        <f t="shared" si="3"/>
        <v>https://www.egx.com.eg/ar/NewsList.aspx?ISIN=EGS60121C018</v>
      </c>
    </row>
    <row r="208" spans="4:8" ht="21.75" hidden="1" customHeight="1" x14ac:dyDescent="0.25">
      <c r="D208" s="1" t="s">
        <v>216</v>
      </c>
      <c r="E208" s="31" t="s">
        <v>262</v>
      </c>
      <c r="F208" s="31" t="s">
        <v>823</v>
      </c>
      <c r="G208" s="33" t="s">
        <v>1117</v>
      </c>
      <c r="H208" s="32" t="str">
        <f t="shared" si="3"/>
        <v>https://www.egx.com.eg/ar/NewsList.aspx?ISIN=EGS60111C019</v>
      </c>
    </row>
    <row r="209" spans="4:8" ht="21.75" hidden="1" customHeight="1" x14ac:dyDescent="0.25">
      <c r="D209" s="1" t="s">
        <v>344</v>
      </c>
      <c r="E209" s="31" t="s">
        <v>343</v>
      </c>
      <c r="F209" s="31" t="s">
        <v>627</v>
      </c>
      <c r="G209" s="33" t="s">
        <v>1118</v>
      </c>
      <c r="H209" s="32" t="str">
        <f t="shared" si="3"/>
        <v>https://www.egx.com.eg/ar/NewsList.aspx?ISIN=EGS60182C010</v>
      </c>
    </row>
    <row r="210" spans="4:8" ht="21.75" hidden="1" customHeight="1" x14ac:dyDescent="0.25">
      <c r="D210" s="1" t="s">
        <v>897</v>
      </c>
      <c r="E210" s="31" t="s">
        <v>907</v>
      </c>
      <c r="F210" s="31" t="s">
        <v>898</v>
      </c>
      <c r="G210" s="33" t="s">
        <v>1119</v>
      </c>
      <c r="H210" s="32" t="str">
        <f t="shared" si="3"/>
        <v>https://www.egx.com.eg/ar/NewsList.aspx?ISIN=EGS3E071C013</v>
      </c>
    </row>
    <row r="211" spans="4:8" ht="21.75" hidden="1" customHeight="1" x14ac:dyDescent="0.25">
      <c r="D211" s="1" t="s">
        <v>218</v>
      </c>
      <c r="E211" s="31" t="s">
        <v>566</v>
      </c>
      <c r="F211" s="31" t="s">
        <v>743</v>
      </c>
      <c r="G211" s="33" t="s">
        <v>1120</v>
      </c>
      <c r="H211" s="32" t="str">
        <f t="shared" si="3"/>
        <v>https://www.egx.com.eg/ar/NewsList.aspx?ISIN=EGS69261C013</v>
      </c>
    </row>
    <row r="212" spans="4:8" ht="21.75" hidden="1" customHeight="1" x14ac:dyDescent="0.25">
      <c r="D212" s="1" t="s">
        <v>115</v>
      </c>
      <c r="E212" s="31" t="s">
        <v>567</v>
      </c>
      <c r="F212" s="31" t="s">
        <v>710</v>
      </c>
      <c r="G212" s="33" t="s">
        <v>1121</v>
      </c>
      <c r="H212" s="32" t="str">
        <f t="shared" si="3"/>
        <v>https://www.egx.com.eg/ar/NewsList.aspx?ISIN=EGS70R91C016</v>
      </c>
    </row>
    <row r="213" spans="4:8" ht="21.75" hidden="1" customHeight="1" x14ac:dyDescent="0.25">
      <c r="D213" s="1" t="s">
        <v>448</v>
      </c>
      <c r="E213" s="31" t="s">
        <v>568</v>
      </c>
      <c r="F213" s="31" t="s">
        <v>810</v>
      </c>
      <c r="G213" s="33" t="s">
        <v>1122</v>
      </c>
      <c r="H213" s="32" t="str">
        <f t="shared" si="3"/>
        <v>https://www.egx.com.eg/ar/NewsList.aspx?ISIN=EGS70P91C010</v>
      </c>
    </row>
    <row r="214" spans="4:8" ht="21.75" hidden="1" customHeight="1" x14ac:dyDescent="0.25">
      <c r="D214" s="1" t="s">
        <v>220</v>
      </c>
      <c r="E214" s="31" t="s">
        <v>312</v>
      </c>
      <c r="F214" s="31" t="s">
        <v>683</v>
      </c>
      <c r="G214" s="33" t="s">
        <v>1123</v>
      </c>
      <c r="H214" s="32" t="str">
        <f t="shared" si="3"/>
        <v>https://www.egx.com.eg/ar/NewsList.aspx?ISIN=EGS73541C012</v>
      </c>
    </row>
    <row r="215" spans="4:8" ht="21.75" hidden="1" customHeight="1" x14ac:dyDescent="0.25">
      <c r="D215" s="1" t="s">
        <v>8</v>
      </c>
      <c r="E215" s="31" t="s">
        <v>569</v>
      </c>
      <c r="F215" s="31" t="s">
        <v>662</v>
      </c>
      <c r="G215" s="33" t="s">
        <v>1124</v>
      </c>
      <c r="H215" s="32" t="str">
        <f t="shared" si="3"/>
        <v>https://www.egx.com.eg/ar/NewsList.aspx?ISIN=EGS3C4L1C015</v>
      </c>
    </row>
    <row r="216" spans="4:8" ht="21.75" hidden="1" customHeight="1" x14ac:dyDescent="0.25">
      <c r="D216" s="1" t="s">
        <v>221</v>
      </c>
      <c r="E216" s="31" t="s">
        <v>368</v>
      </c>
      <c r="F216" s="31" t="s">
        <v>718</v>
      </c>
      <c r="G216" s="33" t="s">
        <v>1125</v>
      </c>
      <c r="H216" s="32" t="str">
        <f t="shared" si="3"/>
        <v>https://www.egx.com.eg/ar/NewsList.aspx?ISIN=EGS693V1C014</v>
      </c>
    </row>
    <row r="217" spans="4:8" ht="21.75" hidden="1" customHeight="1" x14ac:dyDescent="0.25">
      <c r="D217" s="1" t="s">
        <v>899</v>
      </c>
      <c r="E217" s="31" t="s">
        <v>908</v>
      </c>
      <c r="F217" s="31" t="s">
        <v>900</v>
      </c>
      <c r="G217" s="33" t="s">
        <v>1126</v>
      </c>
      <c r="H217" s="32" t="str">
        <f t="shared" si="3"/>
        <v>https://www.egx.com.eg/ar/NewsList.aspx?ISIN=EGS70GV1C015</v>
      </c>
    </row>
    <row r="218" spans="4:8" ht="21.75" hidden="1" customHeight="1" x14ac:dyDescent="0.25">
      <c r="D218" s="1" t="s">
        <v>223</v>
      </c>
      <c r="E218" s="31" t="s">
        <v>570</v>
      </c>
      <c r="F218" s="31" t="s">
        <v>776</v>
      </c>
      <c r="G218" s="33" t="s">
        <v>1127</v>
      </c>
      <c r="H218" s="32" t="str">
        <f t="shared" si="3"/>
        <v>https://www.egx.com.eg/ar/NewsList.aspx?ISIN=EGS382M1C011</v>
      </c>
    </row>
    <row r="219" spans="4:8" ht="21.75" hidden="1" customHeight="1" x14ac:dyDescent="0.25">
      <c r="D219" s="1" t="s">
        <v>224</v>
      </c>
      <c r="E219" s="31" t="s">
        <v>571</v>
      </c>
      <c r="F219" s="31" t="s">
        <v>597</v>
      </c>
      <c r="G219" s="33" t="s">
        <v>1128</v>
      </c>
      <c r="H219" s="32" t="str">
        <f t="shared" si="3"/>
        <v>https://www.egx.com.eg/ar/NewsList.aspx?ISIN=EGS69491M015</v>
      </c>
    </row>
    <row r="220" spans="4:8" ht="21.75" hidden="1" customHeight="1" x14ac:dyDescent="0.25">
      <c r="D220" s="1" t="s">
        <v>225</v>
      </c>
      <c r="E220" s="31" t="s">
        <v>352</v>
      </c>
      <c r="F220" s="31" t="s">
        <v>787</v>
      </c>
      <c r="G220" s="33" t="s">
        <v>1129</v>
      </c>
      <c r="H220" s="32" t="str">
        <f t="shared" si="3"/>
        <v>https://www.egx.com.eg/ar/NewsList.aspx?ISIN=EGS30AL1C012</v>
      </c>
    </row>
    <row r="221" spans="4:8" ht="21.75" hidden="1" customHeight="1" x14ac:dyDescent="0.25">
      <c r="D221" s="1" t="s">
        <v>226</v>
      </c>
      <c r="E221" s="31" t="s">
        <v>301</v>
      </c>
      <c r="F221" s="31" t="s">
        <v>783</v>
      </c>
      <c r="G221" s="33" t="s">
        <v>1130</v>
      </c>
      <c r="H221" s="32" t="str">
        <f t="shared" si="3"/>
        <v>https://www.egx.com.eg/ar/NewsList.aspx?ISIN=EGS729J1C018</v>
      </c>
    </row>
    <row r="222" spans="4:8" ht="21.75" hidden="1" customHeight="1" x14ac:dyDescent="0.25">
      <c r="D222" s="1" t="s">
        <v>119</v>
      </c>
      <c r="E222" s="31" t="s">
        <v>379</v>
      </c>
      <c r="F222" s="31" t="s">
        <v>800</v>
      </c>
      <c r="G222" s="33" t="s">
        <v>1131</v>
      </c>
      <c r="H222" s="32" t="str">
        <f t="shared" si="3"/>
        <v>https://www.egx.com.eg/ar/NewsList.aspx?ISIN=EGS738I1C018</v>
      </c>
    </row>
    <row r="223" spans="4:8" ht="21.75" hidden="1" customHeight="1" x14ac:dyDescent="0.25">
      <c r="D223" s="1" t="s">
        <v>449</v>
      </c>
      <c r="E223" s="31" t="s">
        <v>572</v>
      </c>
      <c r="F223" s="31" t="s">
        <v>731</v>
      </c>
      <c r="G223" s="33" t="s">
        <v>1132</v>
      </c>
      <c r="H223" s="32" t="str">
        <f t="shared" si="3"/>
        <v>https://www.egx.com.eg/ar/NewsList.aspx?ISIN=EGS600K1C019</v>
      </c>
    </row>
    <row r="224" spans="4:8" ht="21.75" hidden="1" customHeight="1" x14ac:dyDescent="0.25">
      <c r="D224" s="1" t="s">
        <v>228</v>
      </c>
      <c r="E224" s="31" t="s">
        <v>573</v>
      </c>
      <c r="F224" s="31" t="s">
        <v>649</v>
      </c>
      <c r="G224" s="33" t="s">
        <v>1133</v>
      </c>
      <c r="H224" s="32" t="str">
        <f t="shared" si="3"/>
        <v>https://www.egx.com.eg/ar/NewsList.aspx?ISIN=EGS72AQ1C016</v>
      </c>
    </row>
    <row r="225" spans="4:8" ht="21.75" hidden="1" customHeight="1" x14ac:dyDescent="0.25">
      <c r="D225" s="1" t="s">
        <v>120</v>
      </c>
      <c r="E225" s="31" t="s">
        <v>574</v>
      </c>
      <c r="F225" s="31" t="s">
        <v>804</v>
      </c>
      <c r="G225" s="33" t="s">
        <v>1134</v>
      </c>
      <c r="H225" s="32" t="str">
        <f t="shared" si="3"/>
        <v>https://www.egx.com.eg/ar/NewsList.aspx?ISIN=EGS7D971C011</v>
      </c>
    </row>
    <row r="226" spans="4:8" ht="21.75" hidden="1" customHeight="1" x14ac:dyDescent="0.25">
      <c r="D226" s="1" t="s">
        <v>229</v>
      </c>
      <c r="E226" s="31" t="s">
        <v>362</v>
      </c>
      <c r="F226" s="31" t="s">
        <v>632</v>
      </c>
      <c r="G226" s="33" t="s">
        <v>1135</v>
      </c>
      <c r="H226" s="32" t="str">
        <f t="shared" si="3"/>
        <v>https://www.egx.com.eg/ar/NewsList.aspx?ISIN=EGS102S1C014</v>
      </c>
    </row>
    <row r="227" spans="4:8" ht="21.75" hidden="1" customHeight="1" x14ac:dyDescent="0.25">
      <c r="D227" s="1" t="s">
        <v>9</v>
      </c>
      <c r="E227" s="31" t="s">
        <v>327</v>
      </c>
      <c r="F227" s="31" t="s">
        <v>601</v>
      </c>
      <c r="G227" s="33" t="s">
        <v>1136</v>
      </c>
      <c r="H227" s="32" t="str">
        <f t="shared" si="3"/>
        <v>https://www.egx.com.eg/ar/NewsList.aspx?ISIN=EGS512O1C012</v>
      </c>
    </row>
    <row r="228" spans="4:8" ht="21.75" hidden="1" customHeight="1" x14ac:dyDescent="0.25">
      <c r="D228" s="1" t="s">
        <v>231</v>
      </c>
      <c r="E228" s="31" t="s">
        <v>360</v>
      </c>
      <c r="F228" s="31" t="s">
        <v>656</v>
      </c>
      <c r="G228" s="33" t="s">
        <v>1137</v>
      </c>
      <c r="H228" s="32" t="str">
        <f t="shared" si="3"/>
        <v>https://www.egx.com.eg/ar/NewsList.aspx?ISIN=EGS381B1C015</v>
      </c>
    </row>
    <row r="229" spans="4:8" ht="21.75" hidden="1" customHeight="1" x14ac:dyDescent="0.25">
      <c r="D229" s="1" t="s">
        <v>233</v>
      </c>
      <c r="E229" s="31" t="s">
        <v>254</v>
      </c>
      <c r="F229" s="31" t="s">
        <v>792</v>
      </c>
      <c r="G229" s="33" t="s">
        <v>1138</v>
      </c>
      <c r="H229" s="32" t="str">
        <f t="shared" si="3"/>
        <v>https://www.egx.com.eg/ar/NewsList.aspx?ISIN=EGS745L1C014</v>
      </c>
    </row>
    <row r="230" spans="4:8" ht="21.75" hidden="1" customHeight="1" x14ac:dyDescent="0.25">
      <c r="D230" s="1" t="s">
        <v>4</v>
      </c>
      <c r="E230" s="31" t="s">
        <v>575</v>
      </c>
      <c r="F230" s="31" t="s">
        <v>777</v>
      </c>
      <c r="G230" s="33" t="s">
        <v>1139</v>
      </c>
      <c r="H230" s="32" t="str">
        <f t="shared" si="3"/>
        <v>https://www.egx.com.eg/ar/NewsList.aspx?ISIN=EGS73BR1C013</v>
      </c>
    </row>
    <row r="231" spans="4:8" ht="21.75" hidden="1" customHeight="1" x14ac:dyDescent="0.25">
      <c r="D231" s="1" t="s">
        <v>234</v>
      </c>
      <c r="E231" s="31" t="s">
        <v>576</v>
      </c>
      <c r="F231" s="31" t="s">
        <v>837</v>
      </c>
      <c r="G231" s="33" t="s">
        <v>1140</v>
      </c>
      <c r="H231" s="32" t="str">
        <f t="shared" si="3"/>
        <v>https://www.egx.com.eg/ar/NewsList.aspx?ISIN=EGS696Z1C017</v>
      </c>
    </row>
    <row r="232" spans="4:8" ht="21.75" hidden="1" customHeight="1" x14ac:dyDescent="0.25">
      <c r="D232" s="1" t="s">
        <v>235</v>
      </c>
      <c r="E232" s="31" t="s">
        <v>577</v>
      </c>
      <c r="F232" s="31" t="s">
        <v>836</v>
      </c>
      <c r="G232" s="33" t="s">
        <v>1141</v>
      </c>
      <c r="H232" s="32" t="str">
        <f t="shared" si="3"/>
        <v>https://www.egx.com.eg/ar/NewsList.aspx?ISIN=EGS694B1C017</v>
      </c>
    </row>
    <row r="233" spans="4:8" ht="21.75" hidden="1" customHeight="1" x14ac:dyDescent="0.25">
      <c r="D233" s="1" t="s">
        <v>236</v>
      </c>
      <c r="E233" s="31" t="s">
        <v>331</v>
      </c>
      <c r="F233" s="31" t="s">
        <v>598</v>
      </c>
      <c r="G233" s="33" t="s">
        <v>1142</v>
      </c>
      <c r="H233" s="32" t="str">
        <f t="shared" si="3"/>
        <v>https://www.egx.com.eg/ar/NewsList.aspx?ISIN=EGS597R1C017</v>
      </c>
    </row>
    <row r="234" spans="4:8" ht="21.75" hidden="1" customHeight="1" x14ac:dyDescent="0.25">
      <c r="D234" s="1" t="s">
        <v>64</v>
      </c>
      <c r="E234" s="31" t="s">
        <v>250</v>
      </c>
      <c r="F234" s="31" t="s">
        <v>720</v>
      </c>
      <c r="G234" s="33" t="s">
        <v>1143</v>
      </c>
      <c r="H234" s="32" t="str">
        <f t="shared" si="3"/>
        <v>https://www.egx.com.eg/ar/NewsList.aspx?ISIN=EGS743O1C013</v>
      </c>
    </row>
    <row r="235" spans="4:8" ht="21.75" hidden="1" customHeight="1" x14ac:dyDescent="0.25">
      <c r="D235" s="1" t="s">
        <v>124</v>
      </c>
      <c r="E235" s="31" t="s">
        <v>578</v>
      </c>
      <c r="F235" s="31" t="s">
        <v>834</v>
      </c>
      <c r="G235" s="33" t="s">
        <v>1144</v>
      </c>
      <c r="H235" s="32" t="str">
        <f t="shared" si="3"/>
        <v>https://www.egx.com.eg/ar/NewsList.aspx?ISIN=EGS02291C010</v>
      </c>
    </row>
    <row r="236" spans="4:8" ht="21.75" hidden="1" customHeight="1" x14ac:dyDescent="0.25">
      <c r="D236" s="1" t="s">
        <v>901</v>
      </c>
      <c r="E236" s="31" t="s">
        <v>397</v>
      </c>
      <c r="F236" s="31" t="s">
        <v>724</v>
      </c>
      <c r="G236" s="33" t="s">
        <v>1145</v>
      </c>
      <c r="H236" s="32" t="str">
        <f t="shared" si="3"/>
        <v>https://www.egx.com.eg/ar/NewsList.aspx?ISIN=EGS21FW1C015</v>
      </c>
    </row>
    <row r="237" spans="4:8" ht="21.75" hidden="1" customHeight="1" x14ac:dyDescent="0.25">
      <c r="D237" s="1" t="s">
        <v>126</v>
      </c>
      <c r="E237" s="31" t="s">
        <v>393</v>
      </c>
      <c r="F237" s="31" t="s">
        <v>742</v>
      </c>
      <c r="G237" s="33" t="s">
        <v>1146</v>
      </c>
      <c r="H237" s="32" t="str">
        <f t="shared" si="3"/>
        <v>https://www.egx.com.eg/ar/NewsList.aspx?ISIN=EGS3JM11C012</v>
      </c>
    </row>
    <row r="238" spans="4:8" ht="21.75" hidden="1" customHeight="1" x14ac:dyDescent="0.25">
      <c r="G238" s="32" t="s">
        <v>1147</v>
      </c>
      <c r="H238" s="32" t="str">
        <f t="shared" si="3"/>
        <v>https://www.egx.com.eg/ar/NewsList.aspx?ISIN=</v>
      </c>
    </row>
  </sheetData>
  <autoFilter ref="D1:H238" xr:uid="{19B55A1C-2AC4-4739-98FA-C813C2E529C3}">
    <filterColumn colId="0">
      <filters>
        <filter val="زهراء المعادي للاستثمار والتعمير"/>
      </filters>
    </filterColumn>
  </autoFilter>
  <hyperlinks>
    <hyperlink ref="G2" r:id="rId1" xr:uid="{830C7D08-3F0B-4621-A800-067E341F5732}"/>
  </hyperlinks>
  <pageMargins left="0.7" right="0.7" top="0.75" bottom="0.75" header="0.3" footer="0.3"/>
  <pageSetup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4EEC-0C48-4977-94DE-76292C56E1F9}">
  <dimension ref="C1:L647"/>
  <sheetViews>
    <sheetView topLeftCell="A233" workbookViewId="0">
      <selection activeCell="D258" sqref="D258"/>
    </sheetView>
  </sheetViews>
  <sheetFormatPr defaultColWidth="46.85546875" defaultRowHeight="15" x14ac:dyDescent="0.25"/>
  <cols>
    <col min="1" max="1" width="7.28515625" customWidth="1"/>
    <col min="2" max="2" width="8" customWidth="1"/>
    <col min="3" max="3" width="10.140625" style="1" bestFit="1" customWidth="1"/>
    <col min="4" max="4" width="46.7109375" bestFit="1" customWidth="1"/>
    <col min="5" max="5" width="27.85546875" bestFit="1" customWidth="1"/>
    <col min="6" max="6" width="9.140625" style="1" bestFit="1" customWidth="1"/>
    <col min="8" max="9" width="44.28515625" bestFit="1" customWidth="1"/>
    <col min="10" max="10" width="14.7109375" bestFit="1" customWidth="1"/>
  </cols>
  <sheetData>
    <row r="1" spans="3:12" x14ac:dyDescent="0.25">
      <c r="C1" s="1" t="s">
        <v>411</v>
      </c>
      <c r="D1" s="5" t="s">
        <v>412</v>
      </c>
      <c r="E1" s="1" t="s">
        <v>413</v>
      </c>
      <c r="F1" s="1" t="s">
        <v>411</v>
      </c>
    </row>
    <row r="2" spans="3:12" x14ac:dyDescent="0.25">
      <c r="C2" t="s">
        <v>450</v>
      </c>
      <c r="D2" t="s">
        <v>65</v>
      </c>
      <c r="E2" t="e">
        <v>#N/A</v>
      </c>
      <c r="F2" t="s">
        <v>450</v>
      </c>
      <c r="H2" s="8" t="s">
        <v>140</v>
      </c>
      <c r="I2" s="9"/>
      <c r="J2" s="10" t="s">
        <v>594</v>
      </c>
      <c r="K2" s="11" t="s">
        <v>40</v>
      </c>
    </row>
    <row r="3" spans="3:12" x14ac:dyDescent="0.25">
      <c r="C3" t="s">
        <v>451</v>
      </c>
      <c r="D3" t="s">
        <v>127</v>
      </c>
      <c r="E3" t="e">
        <v>#N/A</v>
      </c>
      <c r="F3" t="s">
        <v>451</v>
      </c>
      <c r="H3" s="12" t="s">
        <v>211</v>
      </c>
      <c r="I3" s="13"/>
      <c r="J3" s="14" t="s">
        <v>595</v>
      </c>
      <c r="K3" s="15" t="s">
        <v>44</v>
      </c>
      <c r="L3" t="s">
        <v>40</v>
      </c>
    </row>
    <row r="4" spans="3:12" x14ac:dyDescent="0.25">
      <c r="C4" t="s">
        <v>452</v>
      </c>
      <c r="D4" t="s">
        <v>70</v>
      </c>
      <c r="E4" t="e">
        <v>#N/A</v>
      </c>
      <c r="F4" t="s">
        <v>452</v>
      </c>
      <c r="H4" s="8" t="s">
        <v>156</v>
      </c>
      <c r="I4" s="9"/>
      <c r="J4" s="10" t="s">
        <v>596</v>
      </c>
      <c r="K4" s="11" t="s">
        <v>44</v>
      </c>
      <c r="L4" t="s">
        <v>44</v>
      </c>
    </row>
    <row r="5" spans="3:12" ht="30" x14ac:dyDescent="0.25">
      <c r="C5" t="s">
        <v>416</v>
      </c>
      <c r="D5" t="s">
        <v>152</v>
      </c>
      <c r="E5" t="s">
        <v>152</v>
      </c>
      <c r="F5" t="s">
        <v>416</v>
      </c>
      <c r="H5" s="12" t="s">
        <v>224</v>
      </c>
      <c r="I5" s="13"/>
      <c r="J5" s="14" t="s">
        <v>597</v>
      </c>
      <c r="K5" s="15" t="s">
        <v>44</v>
      </c>
      <c r="L5" t="s">
        <v>44</v>
      </c>
    </row>
    <row r="6" spans="3:12" ht="30" x14ac:dyDescent="0.25">
      <c r="C6" t="s">
        <v>453</v>
      </c>
      <c r="D6" t="s">
        <v>189</v>
      </c>
      <c r="E6" t="e">
        <v>#N/A</v>
      </c>
      <c r="F6" t="s">
        <v>453</v>
      </c>
      <c r="H6" s="8" t="s">
        <v>236</v>
      </c>
      <c r="I6" s="9"/>
      <c r="J6" s="10" t="s">
        <v>598</v>
      </c>
      <c r="K6" s="11" t="s">
        <v>77</v>
      </c>
      <c r="L6" t="s">
        <v>44</v>
      </c>
    </row>
    <row r="7" spans="3:12" x14ac:dyDescent="0.25">
      <c r="C7" t="s">
        <v>347</v>
      </c>
      <c r="D7" t="s">
        <v>209</v>
      </c>
      <c r="E7" t="s">
        <v>348</v>
      </c>
      <c r="F7" t="s">
        <v>347</v>
      </c>
      <c r="H7" s="12" t="s">
        <v>45</v>
      </c>
      <c r="I7" s="13"/>
      <c r="J7" s="14" t="s">
        <v>599</v>
      </c>
      <c r="K7" s="15" t="s">
        <v>46</v>
      </c>
      <c r="L7" t="s">
        <v>77</v>
      </c>
    </row>
    <row r="8" spans="3:12" x14ac:dyDescent="0.25">
      <c r="C8" t="s">
        <v>272</v>
      </c>
      <c r="D8" t="s">
        <v>116</v>
      </c>
      <c r="E8" t="s">
        <v>273</v>
      </c>
      <c r="F8" t="s">
        <v>272</v>
      </c>
      <c r="H8" s="8" t="s">
        <v>212</v>
      </c>
      <c r="I8" s="9"/>
      <c r="J8" s="10" t="s">
        <v>600</v>
      </c>
      <c r="K8" s="11" t="s">
        <v>40</v>
      </c>
      <c r="L8" t="s">
        <v>46</v>
      </c>
    </row>
    <row r="9" spans="3:12" x14ac:dyDescent="0.25">
      <c r="C9" t="s">
        <v>454</v>
      </c>
      <c r="D9" t="s">
        <v>184</v>
      </c>
      <c r="E9" t="e">
        <v>#N/A</v>
      </c>
      <c r="F9" t="s">
        <v>454</v>
      </c>
      <c r="H9" s="12" t="s">
        <v>9</v>
      </c>
      <c r="I9" s="13"/>
      <c r="J9" s="14" t="s">
        <v>601</v>
      </c>
      <c r="K9" s="15" t="s">
        <v>51</v>
      </c>
      <c r="L9" t="s">
        <v>40</v>
      </c>
    </row>
    <row r="10" spans="3:12" x14ac:dyDescent="0.25">
      <c r="C10" t="s">
        <v>329</v>
      </c>
      <c r="D10" t="s">
        <v>423</v>
      </c>
      <c r="E10" t="s">
        <v>330</v>
      </c>
      <c r="F10" t="s">
        <v>329</v>
      </c>
      <c r="H10" s="8" t="s">
        <v>80</v>
      </c>
      <c r="I10" s="9"/>
      <c r="J10" s="10" t="s">
        <v>602</v>
      </c>
      <c r="K10" s="11" t="s">
        <v>61</v>
      </c>
      <c r="L10" t="s">
        <v>51</v>
      </c>
    </row>
    <row r="11" spans="3:12" x14ac:dyDescent="0.25">
      <c r="C11" t="s">
        <v>455</v>
      </c>
      <c r="D11" t="s">
        <v>424</v>
      </c>
      <c r="E11" t="e">
        <v>#N/A</v>
      </c>
      <c r="F11" t="s">
        <v>455</v>
      </c>
      <c r="H11" s="12" t="s">
        <v>96</v>
      </c>
      <c r="I11" s="13"/>
      <c r="J11" s="14" t="s">
        <v>603</v>
      </c>
      <c r="K11" s="15" t="s">
        <v>48</v>
      </c>
      <c r="L11" t="s">
        <v>61</v>
      </c>
    </row>
    <row r="12" spans="3:12" x14ac:dyDescent="0.25">
      <c r="C12" t="s">
        <v>456</v>
      </c>
      <c r="D12" t="s">
        <v>47</v>
      </c>
      <c r="E12" t="e">
        <v>#N/A</v>
      </c>
      <c r="F12" t="s">
        <v>456</v>
      </c>
      <c r="H12" s="8" t="s">
        <v>131</v>
      </c>
      <c r="I12" s="9"/>
      <c r="J12" s="10" t="s">
        <v>604</v>
      </c>
      <c r="K12" s="11" t="s">
        <v>44</v>
      </c>
      <c r="L12" t="s">
        <v>48</v>
      </c>
    </row>
    <row r="13" spans="3:12" x14ac:dyDescent="0.25">
      <c r="C13" t="s">
        <v>293</v>
      </c>
      <c r="D13" t="s">
        <v>62</v>
      </c>
      <c r="E13" t="s">
        <v>294</v>
      </c>
      <c r="F13" t="s">
        <v>293</v>
      </c>
      <c r="H13" s="12" t="s">
        <v>50</v>
      </c>
      <c r="I13" s="13"/>
      <c r="J13" s="14" t="s">
        <v>605</v>
      </c>
      <c r="K13" s="15" t="s">
        <v>44</v>
      </c>
      <c r="L13" t="s">
        <v>44</v>
      </c>
    </row>
    <row r="14" spans="3:12" x14ac:dyDescent="0.25">
      <c r="C14" t="s">
        <v>370</v>
      </c>
      <c r="D14" t="s">
        <v>52</v>
      </c>
      <c r="E14" t="s">
        <v>371</v>
      </c>
      <c r="F14" t="s">
        <v>370</v>
      </c>
      <c r="H14" s="8" t="s">
        <v>164</v>
      </c>
      <c r="I14" s="9"/>
      <c r="J14" s="10" t="s">
        <v>606</v>
      </c>
      <c r="K14" s="11" t="s">
        <v>44</v>
      </c>
      <c r="L14" t="s">
        <v>44</v>
      </c>
    </row>
    <row r="15" spans="3:12" x14ac:dyDescent="0.25">
      <c r="C15" t="s">
        <v>457</v>
      </c>
      <c r="D15" t="s">
        <v>129</v>
      </c>
      <c r="E15" t="e">
        <v>#N/A</v>
      </c>
      <c r="F15" t="s">
        <v>457</v>
      </c>
      <c r="H15" s="12" t="s">
        <v>16</v>
      </c>
      <c r="I15" s="13"/>
      <c r="J15" s="14" t="s">
        <v>607</v>
      </c>
      <c r="K15" s="15" t="s">
        <v>93</v>
      </c>
      <c r="L15" t="s">
        <v>44</v>
      </c>
    </row>
    <row r="16" spans="3:12" x14ac:dyDescent="0.25">
      <c r="C16" t="s">
        <v>458</v>
      </c>
      <c r="D16" t="s">
        <v>131</v>
      </c>
      <c r="E16" t="e">
        <v>#N/A</v>
      </c>
      <c r="F16" t="s">
        <v>458</v>
      </c>
      <c r="H16" s="8" t="s">
        <v>144</v>
      </c>
      <c r="I16" s="9"/>
      <c r="J16" s="10" t="s">
        <v>608</v>
      </c>
      <c r="K16" s="11" t="s">
        <v>61</v>
      </c>
      <c r="L16" t="s">
        <v>93</v>
      </c>
    </row>
    <row r="17" spans="3:12" x14ac:dyDescent="0.25">
      <c r="C17" t="s">
        <v>345</v>
      </c>
      <c r="D17" t="s">
        <v>132</v>
      </c>
      <c r="E17" t="s">
        <v>346</v>
      </c>
      <c r="F17" t="s">
        <v>345</v>
      </c>
      <c r="H17" s="12" t="s">
        <v>105</v>
      </c>
      <c r="I17" s="13"/>
      <c r="J17" s="14" t="s">
        <v>609</v>
      </c>
      <c r="K17" s="15" t="s">
        <v>44</v>
      </c>
      <c r="L17" t="s">
        <v>61</v>
      </c>
    </row>
    <row r="18" spans="3:12" x14ac:dyDescent="0.25">
      <c r="C18" t="s">
        <v>459</v>
      </c>
      <c r="D18" t="s">
        <v>134</v>
      </c>
      <c r="E18" t="e">
        <v>#N/A</v>
      </c>
      <c r="F18" t="s">
        <v>459</v>
      </c>
      <c r="H18" s="8" t="s">
        <v>222</v>
      </c>
      <c r="I18" s="9"/>
      <c r="J18" s="10" t="s">
        <v>610</v>
      </c>
      <c r="K18" s="11" t="s">
        <v>40</v>
      </c>
      <c r="L18" t="s">
        <v>44</v>
      </c>
    </row>
    <row r="19" spans="3:12" x14ac:dyDescent="0.25">
      <c r="C19" t="s">
        <v>460</v>
      </c>
      <c r="D19" t="s">
        <v>135</v>
      </c>
      <c r="E19" t="e">
        <v>#N/A</v>
      </c>
      <c r="F19" t="s">
        <v>460</v>
      </c>
      <c r="H19" s="12" t="s">
        <v>43</v>
      </c>
      <c r="I19" s="13"/>
      <c r="J19" s="14" t="s">
        <v>611</v>
      </c>
      <c r="K19" s="15" t="s">
        <v>44</v>
      </c>
      <c r="L19" t="s">
        <v>40</v>
      </c>
    </row>
    <row r="20" spans="3:12" x14ac:dyDescent="0.25">
      <c r="C20" t="s">
        <v>284</v>
      </c>
      <c r="D20" t="s">
        <v>138</v>
      </c>
      <c r="E20" t="s">
        <v>285</v>
      </c>
      <c r="F20" t="s">
        <v>284</v>
      </c>
      <c r="H20" s="8" t="s">
        <v>13</v>
      </c>
      <c r="I20" s="9"/>
      <c r="J20" s="10" t="s">
        <v>612</v>
      </c>
      <c r="K20" s="11" t="s">
        <v>51</v>
      </c>
      <c r="L20" t="s">
        <v>44</v>
      </c>
    </row>
    <row r="21" spans="3:12" x14ac:dyDescent="0.25">
      <c r="C21" t="s">
        <v>337</v>
      </c>
      <c r="D21" t="s">
        <v>141</v>
      </c>
      <c r="E21" t="s">
        <v>338</v>
      </c>
      <c r="F21" t="s">
        <v>337</v>
      </c>
      <c r="H21" s="12" t="s">
        <v>185</v>
      </c>
      <c r="I21" s="13"/>
      <c r="J21" s="14" t="s">
        <v>613</v>
      </c>
      <c r="K21" s="15" t="s">
        <v>40</v>
      </c>
      <c r="L21" t="s">
        <v>51</v>
      </c>
    </row>
    <row r="22" spans="3:12" x14ac:dyDescent="0.25">
      <c r="C22" t="s">
        <v>461</v>
      </c>
      <c r="D22" t="s">
        <v>425</v>
      </c>
      <c r="E22" t="e">
        <v>#N/A</v>
      </c>
      <c r="F22" t="s">
        <v>461</v>
      </c>
      <c r="H22" s="8" t="s">
        <v>112</v>
      </c>
      <c r="I22" s="9"/>
      <c r="J22" s="10" t="s">
        <v>614</v>
      </c>
      <c r="K22" s="11" t="s">
        <v>111</v>
      </c>
      <c r="L22" t="s">
        <v>40</v>
      </c>
    </row>
    <row r="23" spans="3:12" x14ac:dyDescent="0.25">
      <c r="C23" t="s">
        <v>286</v>
      </c>
      <c r="D23" t="s">
        <v>142</v>
      </c>
      <c r="E23" t="s">
        <v>287</v>
      </c>
      <c r="F23" t="s">
        <v>286</v>
      </c>
      <c r="H23" s="12" t="s">
        <v>154</v>
      </c>
      <c r="I23" s="13"/>
      <c r="J23" s="14" t="s">
        <v>615</v>
      </c>
      <c r="K23" s="15" t="s">
        <v>51</v>
      </c>
      <c r="L23" t="s">
        <v>111</v>
      </c>
    </row>
    <row r="24" spans="3:12" ht="30" x14ac:dyDescent="0.25">
      <c r="C24" t="s">
        <v>462</v>
      </c>
      <c r="D24" t="s">
        <v>144</v>
      </c>
      <c r="E24" t="e">
        <v>#N/A</v>
      </c>
      <c r="F24" t="s">
        <v>462</v>
      </c>
      <c r="H24" s="8" t="s">
        <v>204</v>
      </c>
      <c r="I24" s="9"/>
      <c r="J24" s="10" t="s">
        <v>616</v>
      </c>
      <c r="K24" s="11" t="s">
        <v>51</v>
      </c>
      <c r="L24" t="s">
        <v>51</v>
      </c>
    </row>
    <row r="25" spans="3:12" x14ac:dyDescent="0.25">
      <c r="C25" t="s">
        <v>290</v>
      </c>
      <c r="D25" t="s">
        <v>76</v>
      </c>
      <c r="E25" t="s">
        <v>76</v>
      </c>
      <c r="F25" t="s">
        <v>290</v>
      </c>
      <c r="H25" s="12" t="s">
        <v>166</v>
      </c>
      <c r="I25" s="13"/>
      <c r="J25" s="14" t="s">
        <v>617</v>
      </c>
      <c r="K25" s="15" t="s">
        <v>167</v>
      </c>
      <c r="L25" t="s">
        <v>51</v>
      </c>
    </row>
    <row r="26" spans="3:12" x14ac:dyDescent="0.25">
      <c r="C26" t="s">
        <v>239</v>
      </c>
      <c r="D26" t="s">
        <v>148</v>
      </c>
      <c r="E26" t="s">
        <v>240</v>
      </c>
      <c r="F26" t="s">
        <v>239</v>
      </c>
      <c r="H26" s="8" t="s">
        <v>171</v>
      </c>
      <c r="I26" s="9"/>
      <c r="J26" s="10" t="s">
        <v>618</v>
      </c>
      <c r="K26" s="11" t="s">
        <v>88</v>
      </c>
      <c r="L26" t="s">
        <v>167</v>
      </c>
    </row>
    <row r="27" spans="3:12" x14ac:dyDescent="0.25">
      <c r="C27" t="s">
        <v>242</v>
      </c>
      <c r="D27" t="s">
        <v>149</v>
      </c>
      <c r="E27" t="s">
        <v>243</v>
      </c>
      <c r="F27" t="s">
        <v>242</v>
      </c>
      <c r="H27" s="12" t="s">
        <v>201</v>
      </c>
      <c r="I27" s="13"/>
      <c r="J27" s="14" t="s">
        <v>619</v>
      </c>
      <c r="K27" s="15" t="s">
        <v>44</v>
      </c>
      <c r="L27" t="s">
        <v>88</v>
      </c>
    </row>
    <row r="28" spans="3:12" ht="30" x14ac:dyDescent="0.25">
      <c r="C28" t="s">
        <v>248</v>
      </c>
      <c r="D28" t="s">
        <v>80</v>
      </c>
      <c r="E28" t="s">
        <v>249</v>
      </c>
      <c r="F28" t="s">
        <v>248</v>
      </c>
      <c r="H28" s="8" t="s">
        <v>219</v>
      </c>
      <c r="I28" s="9"/>
      <c r="J28" s="10" t="s">
        <v>620</v>
      </c>
      <c r="K28" s="11" t="s">
        <v>40</v>
      </c>
      <c r="L28" t="s">
        <v>44</v>
      </c>
    </row>
    <row r="29" spans="3:12" x14ac:dyDescent="0.25">
      <c r="C29" t="s">
        <v>463</v>
      </c>
      <c r="D29" t="s">
        <v>81</v>
      </c>
      <c r="E29" t="e">
        <v>#N/A</v>
      </c>
      <c r="F29" t="s">
        <v>463</v>
      </c>
      <c r="H29" s="12" t="s">
        <v>68</v>
      </c>
      <c r="I29" s="13"/>
      <c r="J29" s="14" t="s">
        <v>621</v>
      </c>
      <c r="K29" s="15" t="s">
        <v>48</v>
      </c>
      <c r="L29" t="s">
        <v>40</v>
      </c>
    </row>
    <row r="30" spans="3:12" x14ac:dyDescent="0.25">
      <c r="C30" t="s">
        <v>464</v>
      </c>
      <c r="D30" t="s">
        <v>153</v>
      </c>
      <c r="E30" t="e">
        <v>#N/A</v>
      </c>
      <c r="F30" t="s">
        <v>464</v>
      </c>
      <c r="H30" s="8" t="s">
        <v>130</v>
      </c>
      <c r="I30" s="9"/>
      <c r="J30" s="10" t="s">
        <v>622</v>
      </c>
      <c r="K30" s="11" t="s">
        <v>48</v>
      </c>
      <c r="L30" t="s">
        <v>48</v>
      </c>
    </row>
    <row r="31" spans="3:12" x14ac:dyDescent="0.25">
      <c r="C31" t="s">
        <v>465</v>
      </c>
      <c r="D31" t="s">
        <v>156</v>
      </c>
      <c r="E31" t="e">
        <v>#N/A</v>
      </c>
      <c r="F31" t="s">
        <v>465</v>
      </c>
      <c r="H31" s="12" t="s">
        <v>12</v>
      </c>
      <c r="I31" s="13"/>
      <c r="J31" s="14" t="s">
        <v>623</v>
      </c>
      <c r="K31" s="15" t="s">
        <v>61</v>
      </c>
      <c r="L31" t="s">
        <v>48</v>
      </c>
    </row>
    <row r="32" spans="3:12" x14ac:dyDescent="0.25">
      <c r="C32" t="s">
        <v>335</v>
      </c>
      <c r="D32" t="s">
        <v>159</v>
      </c>
      <c r="E32" t="s">
        <v>336</v>
      </c>
      <c r="F32" t="s">
        <v>335</v>
      </c>
      <c r="H32" s="8" t="s">
        <v>143</v>
      </c>
      <c r="I32" s="9"/>
      <c r="J32" s="10" t="s">
        <v>624</v>
      </c>
      <c r="K32" s="11" t="s">
        <v>42</v>
      </c>
      <c r="L32" t="s">
        <v>61</v>
      </c>
    </row>
    <row r="33" spans="3:12" x14ac:dyDescent="0.25">
      <c r="C33" t="s">
        <v>274</v>
      </c>
      <c r="D33" t="s">
        <v>18</v>
      </c>
      <c r="E33" t="s">
        <v>275</v>
      </c>
      <c r="F33" t="s">
        <v>274</v>
      </c>
      <c r="H33" s="12" t="s">
        <v>186</v>
      </c>
      <c r="I33" s="13"/>
      <c r="J33" s="14" t="s">
        <v>625</v>
      </c>
      <c r="K33" s="15" t="s">
        <v>44</v>
      </c>
      <c r="L33" t="s">
        <v>42</v>
      </c>
    </row>
    <row r="34" spans="3:12" x14ac:dyDescent="0.25">
      <c r="C34" t="s">
        <v>466</v>
      </c>
      <c r="D34" t="s">
        <v>162</v>
      </c>
      <c r="E34" t="e">
        <v>#N/A</v>
      </c>
      <c r="F34" t="s">
        <v>466</v>
      </c>
      <c r="H34" s="8" t="s">
        <v>215</v>
      </c>
      <c r="I34" s="9"/>
      <c r="J34" s="10" t="s">
        <v>626</v>
      </c>
      <c r="K34" s="11" t="s">
        <v>49</v>
      </c>
      <c r="L34" t="s">
        <v>44</v>
      </c>
    </row>
    <row r="35" spans="3:12" x14ac:dyDescent="0.25">
      <c r="C35" t="s">
        <v>389</v>
      </c>
      <c r="D35" t="s">
        <v>165</v>
      </c>
      <c r="E35" t="s">
        <v>390</v>
      </c>
      <c r="F35" t="s">
        <v>389</v>
      </c>
      <c r="H35" s="12" t="s">
        <v>344</v>
      </c>
      <c r="I35" s="13"/>
      <c r="J35" s="14" t="s">
        <v>627</v>
      </c>
      <c r="K35" s="15" t="s">
        <v>49</v>
      </c>
      <c r="L35" t="s">
        <v>49</v>
      </c>
    </row>
    <row r="36" spans="3:12" x14ac:dyDescent="0.25">
      <c r="C36" t="s">
        <v>467</v>
      </c>
      <c r="D36" t="s">
        <v>13</v>
      </c>
      <c r="E36" t="e">
        <v>#N/A</v>
      </c>
      <c r="F36" t="s">
        <v>467</v>
      </c>
      <c r="H36" s="8" t="s">
        <v>97</v>
      </c>
      <c r="I36" s="9"/>
      <c r="J36" s="10" t="s">
        <v>628</v>
      </c>
      <c r="K36" s="11" t="s">
        <v>49</v>
      </c>
      <c r="L36" t="s">
        <v>49</v>
      </c>
    </row>
    <row r="37" spans="3:12" x14ac:dyDescent="0.25">
      <c r="C37" t="s">
        <v>468</v>
      </c>
      <c r="D37" t="s">
        <v>17</v>
      </c>
      <c r="E37" t="e">
        <v>#N/A</v>
      </c>
      <c r="F37" t="s">
        <v>468</v>
      </c>
      <c r="H37" s="12" t="s">
        <v>189</v>
      </c>
      <c r="I37" s="13"/>
      <c r="J37" s="14" t="s">
        <v>629</v>
      </c>
      <c r="K37" s="15" t="s">
        <v>40</v>
      </c>
      <c r="L37" t="s">
        <v>49</v>
      </c>
    </row>
    <row r="38" spans="3:12" x14ac:dyDescent="0.25">
      <c r="C38" t="s">
        <v>400</v>
      </c>
      <c r="D38" t="s">
        <v>168</v>
      </c>
      <c r="E38" t="s">
        <v>401</v>
      </c>
      <c r="F38" t="s">
        <v>400</v>
      </c>
      <c r="H38" s="8" t="s">
        <v>70</v>
      </c>
      <c r="I38" s="9"/>
      <c r="J38" s="10" t="s">
        <v>630</v>
      </c>
      <c r="K38" s="11" t="s">
        <v>71</v>
      </c>
      <c r="L38" t="s">
        <v>40</v>
      </c>
    </row>
    <row r="39" spans="3:12" x14ac:dyDescent="0.25">
      <c r="C39" t="s">
        <v>469</v>
      </c>
      <c r="D39" t="s">
        <v>169</v>
      </c>
      <c r="E39" t="e">
        <v>#N/A</v>
      </c>
      <c r="F39" t="s">
        <v>469</v>
      </c>
      <c r="H39" s="12" t="s">
        <v>202</v>
      </c>
      <c r="I39" s="13"/>
      <c r="J39" s="14" t="s">
        <v>631</v>
      </c>
      <c r="K39" s="15" t="s">
        <v>61</v>
      </c>
      <c r="L39" t="s">
        <v>71</v>
      </c>
    </row>
    <row r="40" spans="3:12" x14ac:dyDescent="0.25">
      <c r="C40" t="s">
        <v>383</v>
      </c>
      <c r="D40" t="s">
        <v>171</v>
      </c>
      <c r="E40" t="s">
        <v>384</v>
      </c>
      <c r="F40" t="s">
        <v>383</v>
      </c>
      <c r="H40" s="8" t="s">
        <v>229</v>
      </c>
      <c r="I40" s="9"/>
      <c r="J40" s="10" t="s">
        <v>632</v>
      </c>
      <c r="K40" s="11" t="s">
        <v>61</v>
      </c>
      <c r="L40" t="s">
        <v>61</v>
      </c>
    </row>
    <row r="41" spans="3:12" x14ac:dyDescent="0.25">
      <c r="C41" t="s">
        <v>409</v>
      </c>
      <c r="D41" t="s">
        <v>173</v>
      </c>
      <c r="E41" t="s">
        <v>410</v>
      </c>
      <c r="F41" t="s">
        <v>409</v>
      </c>
      <c r="H41" s="12" t="s">
        <v>441</v>
      </c>
      <c r="I41" s="13"/>
      <c r="J41" s="14" t="s">
        <v>633</v>
      </c>
      <c r="K41" s="15" t="s">
        <v>167</v>
      </c>
      <c r="L41" t="s">
        <v>61</v>
      </c>
    </row>
    <row r="42" spans="3:12" x14ac:dyDescent="0.25">
      <c r="C42" t="s">
        <v>470</v>
      </c>
      <c r="D42" t="s">
        <v>175</v>
      </c>
      <c r="E42" t="e">
        <v>#N/A</v>
      </c>
      <c r="F42" t="s">
        <v>470</v>
      </c>
      <c r="H42" s="8" t="s">
        <v>447</v>
      </c>
      <c r="I42" s="9"/>
      <c r="J42" s="10" t="s">
        <v>634</v>
      </c>
      <c r="K42" s="11" t="s">
        <v>167</v>
      </c>
      <c r="L42" t="s">
        <v>167</v>
      </c>
    </row>
    <row r="43" spans="3:12" x14ac:dyDescent="0.25">
      <c r="C43" t="s">
        <v>471</v>
      </c>
      <c r="D43" t="s">
        <v>177</v>
      </c>
      <c r="E43" t="e">
        <v>#N/A</v>
      </c>
      <c r="F43" t="s">
        <v>471</v>
      </c>
      <c r="H43" s="12" t="s">
        <v>133</v>
      </c>
      <c r="I43" s="13"/>
      <c r="J43" s="14" t="s">
        <v>635</v>
      </c>
      <c r="K43" s="15" t="s">
        <v>40</v>
      </c>
      <c r="L43" t="s">
        <v>167</v>
      </c>
    </row>
    <row r="44" spans="3:12" x14ac:dyDescent="0.25">
      <c r="C44" t="s">
        <v>472</v>
      </c>
      <c r="D44" t="s">
        <v>92</v>
      </c>
      <c r="E44" t="e">
        <v>#N/A</v>
      </c>
      <c r="F44" t="s">
        <v>472</v>
      </c>
      <c r="H44" s="8" t="s">
        <v>443</v>
      </c>
      <c r="I44" s="9"/>
      <c r="J44" s="10" t="s">
        <v>636</v>
      </c>
      <c r="K44" s="11" t="s">
        <v>44</v>
      </c>
      <c r="L44" t="s">
        <v>40</v>
      </c>
    </row>
    <row r="45" spans="3:12" x14ac:dyDescent="0.25">
      <c r="C45" t="s">
        <v>473</v>
      </c>
      <c r="D45" t="s">
        <v>94</v>
      </c>
      <c r="E45" t="e">
        <v>#N/A</v>
      </c>
      <c r="F45" t="s">
        <v>473</v>
      </c>
      <c r="H45" s="12" t="s">
        <v>14</v>
      </c>
      <c r="I45" s="13"/>
      <c r="J45" s="14" t="s">
        <v>637</v>
      </c>
      <c r="K45" s="15" t="s">
        <v>48</v>
      </c>
      <c r="L45" t="s">
        <v>44</v>
      </c>
    </row>
    <row r="46" spans="3:12" x14ac:dyDescent="0.25">
      <c r="C46" t="s">
        <v>308</v>
      </c>
      <c r="D46" t="s">
        <v>95</v>
      </c>
      <c r="E46" t="s">
        <v>309</v>
      </c>
      <c r="F46" t="s">
        <v>308</v>
      </c>
      <c r="H46" s="8" t="s">
        <v>53</v>
      </c>
      <c r="I46" s="9"/>
      <c r="J46" s="10" t="s">
        <v>638</v>
      </c>
      <c r="K46" s="11" t="s">
        <v>54</v>
      </c>
      <c r="L46" t="s">
        <v>48</v>
      </c>
    </row>
    <row r="47" spans="3:12" x14ac:dyDescent="0.25">
      <c r="C47" t="s">
        <v>474</v>
      </c>
      <c r="D47" t="s">
        <v>96</v>
      </c>
      <c r="E47" t="e">
        <v>#N/A</v>
      </c>
      <c r="F47" t="s">
        <v>474</v>
      </c>
      <c r="H47" s="12" t="s">
        <v>434</v>
      </c>
      <c r="I47" s="13"/>
      <c r="J47" s="14" t="s">
        <v>639</v>
      </c>
      <c r="K47" s="15" t="s">
        <v>44</v>
      </c>
      <c r="L47" t="s">
        <v>54</v>
      </c>
    </row>
    <row r="48" spans="3:12" x14ac:dyDescent="0.25">
      <c r="C48" t="s">
        <v>295</v>
      </c>
      <c r="D48" t="s">
        <v>97</v>
      </c>
      <c r="E48" t="s">
        <v>296</v>
      </c>
      <c r="F48" t="s">
        <v>295</v>
      </c>
      <c r="H48" s="8" t="s">
        <v>132</v>
      </c>
      <c r="I48" s="9"/>
      <c r="J48" s="10" t="s">
        <v>640</v>
      </c>
      <c r="K48" s="11" t="s">
        <v>54</v>
      </c>
      <c r="L48" t="s">
        <v>44</v>
      </c>
    </row>
    <row r="49" spans="3:12" x14ac:dyDescent="0.25">
      <c r="C49" t="s">
        <v>475</v>
      </c>
      <c r="D49" t="s">
        <v>186</v>
      </c>
      <c r="E49" t="e">
        <v>#N/A</v>
      </c>
      <c r="F49" t="s">
        <v>475</v>
      </c>
      <c r="H49" s="12" t="s">
        <v>81</v>
      </c>
      <c r="I49" s="13"/>
      <c r="J49" s="14" t="s">
        <v>641</v>
      </c>
      <c r="K49" s="15" t="s">
        <v>48</v>
      </c>
      <c r="L49" t="s">
        <v>54</v>
      </c>
    </row>
    <row r="50" spans="3:12" x14ac:dyDescent="0.25">
      <c r="C50" t="s">
        <v>476</v>
      </c>
      <c r="D50" t="s">
        <v>426</v>
      </c>
      <c r="E50" t="e">
        <v>#N/A</v>
      </c>
      <c r="F50" t="s">
        <v>476</v>
      </c>
      <c r="H50" s="8" t="s">
        <v>104</v>
      </c>
      <c r="I50" s="9"/>
      <c r="J50" s="10" t="s">
        <v>642</v>
      </c>
      <c r="K50" s="11" t="s">
        <v>40</v>
      </c>
      <c r="L50" t="s">
        <v>48</v>
      </c>
    </row>
    <row r="51" spans="3:12" x14ac:dyDescent="0.25">
      <c r="C51" t="s">
        <v>477</v>
      </c>
      <c r="D51" t="s">
        <v>99</v>
      </c>
      <c r="E51" t="e">
        <v>#N/A</v>
      </c>
      <c r="F51" t="s">
        <v>477</v>
      </c>
      <c r="H51" s="12" t="s">
        <v>199</v>
      </c>
      <c r="I51" s="13"/>
      <c r="J51" s="14" t="s">
        <v>643</v>
      </c>
      <c r="K51" s="15" t="s">
        <v>44</v>
      </c>
      <c r="L51" t="s">
        <v>40</v>
      </c>
    </row>
    <row r="52" spans="3:12" x14ac:dyDescent="0.25">
      <c r="C52" t="s">
        <v>478</v>
      </c>
      <c r="D52" t="s">
        <v>191</v>
      </c>
      <c r="E52" t="e">
        <v>#N/A</v>
      </c>
      <c r="F52" t="s">
        <v>478</v>
      </c>
      <c r="H52" s="8" t="s">
        <v>444</v>
      </c>
      <c r="I52" s="9"/>
      <c r="J52" s="10" t="s">
        <v>644</v>
      </c>
      <c r="K52" s="11" t="s">
        <v>44</v>
      </c>
      <c r="L52" t="s">
        <v>44</v>
      </c>
    </row>
    <row r="53" spans="3:12" x14ac:dyDescent="0.25">
      <c r="C53" t="s">
        <v>479</v>
      </c>
      <c r="D53" t="s">
        <v>101</v>
      </c>
      <c r="E53" t="e">
        <v>#N/A</v>
      </c>
      <c r="F53" t="s">
        <v>479</v>
      </c>
      <c r="H53" s="12" t="s">
        <v>148</v>
      </c>
      <c r="I53" s="13"/>
      <c r="J53" s="14" t="s">
        <v>645</v>
      </c>
      <c r="K53" s="15" t="s">
        <v>46</v>
      </c>
      <c r="L53" t="s">
        <v>44</v>
      </c>
    </row>
    <row r="54" spans="3:12" x14ac:dyDescent="0.25">
      <c r="C54" t="s">
        <v>280</v>
      </c>
      <c r="D54" t="s">
        <v>24</v>
      </c>
      <c r="E54" t="s">
        <v>281</v>
      </c>
      <c r="F54" t="s">
        <v>280</v>
      </c>
      <c r="H54" s="8" t="s">
        <v>439</v>
      </c>
      <c r="I54" s="9"/>
      <c r="J54" s="10" t="s">
        <v>646</v>
      </c>
      <c r="K54" s="11" t="s">
        <v>42</v>
      </c>
      <c r="L54" t="s">
        <v>46</v>
      </c>
    </row>
    <row r="55" spans="3:12" x14ac:dyDescent="0.25">
      <c r="C55" t="s">
        <v>418</v>
      </c>
      <c r="D55" t="s">
        <v>195</v>
      </c>
      <c r="E55" t="s">
        <v>195</v>
      </c>
      <c r="F55" t="s">
        <v>418</v>
      </c>
      <c r="H55" s="12" t="s">
        <v>149</v>
      </c>
      <c r="I55" s="13"/>
      <c r="J55" s="14" t="s">
        <v>647</v>
      </c>
      <c r="K55" s="15" t="s">
        <v>48</v>
      </c>
      <c r="L55" t="s">
        <v>42</v>
      </c>
    </row>
    <row r="56" spans="3:12" x14ac:dyDescent="0.25">
      <c r="C56" t="s">
        <v>480</v>
      </c>
      <c r="D56" t="s">
        <v>197</v>
      </c>
      <c r="E56" t="e">
        <v>#N/A</v>
      </c>
      <c r="F56" t="s">
        <v>480</v>
      </c>
      <c r="H56" s="8" t="s">
        <v>183</v>
      </c>
      <c r="I56" s="9"/>
      <c r="J56" s="10" t="s">
        <v>648</v>
      </c>
      <c r="K56" s="11" t="s">
        <v>48</v>
      </c>
      <c r="L56" t="s">
        <v>48</v>
      </c>
    </row>
    <row r="57" spans="3:12" x14ac:dyDescent="0.25">
      <c r="C57" t="s">
        <v>288</v>
      </c>
      <c r="D57" t="s">
        <v>104</v>
      </c>
      <c r="E57" t="s">
        <v>289</v>
      </c>
      <c r="F57" t="s">
        <v>288</v>
      </c>
      <c r="H57" s="12" t="s">
        <v>228</v>
      </c>
      <c r="I57" s="13"/>
      <c r="J57" s="14" t="s">
        <v>649</v>
      </c>
      <c r="K57" s="15" t="s">
        <v>40</v>
      </c>
      <c r="L57" t="s">
        <v>48</v>
      </c>
    </row>
    <row r="58" spans="3:12" x14ac:dyDescent="0.25">
      <c r="C58" t="s">
        <v>481</v>
      </c>
      <c r="D58" t="s">
        <v>200</v>
      </c>
      <c r="E58" t="e">
        <v>#N/A</v>
      </c>
      <c r="F58" t="s">
        <v>481</v>
      </c>
      <c r="H58" s="8" t="s">
        <v>442</v>
      </c>
      <c r="I58" s="9"/>
      <c r="J58" s="10" t="s">
        <v>650</v>
      </c>
      <c r="K58" s="11" t="s">
        <v>67</v>
      </c>
      <c r="L58" t="s">
        <v>40</v>
      </c>
    </row>
    <row r="59" spans="3:12" x14ac:dyDescent="0.25">
      <c r="C59" t="s">
        <v>482</v>
      </c>
      <c r="D59" t="s">
        <v>201</v>
      </c>
      <c r="E59" t="e">
        <v>#N/A</v>
      </c>
      <c r="F59" t="s">
        <v>482</v>
      </c>
      <c r="H59" s="12" t="s">
        <v>99</v>
      </c>
      <c r="I59" s="13"/>
      <c r="J59" s="14" t="s">
        <v>651</v>
      </c>
      <c r="K59" s="15" t="s">
        <v>40</v>
      </c>
      <c r="L59" t="s">
        <v>67</v>
      </c>
    </row>
    <row r="60" spans="3:12" x14ac:dyDescent="0.25">
      <c r="C60" t="s">
        <v>349</v>
      </c>
      <c r="D60" t="s">
        <v>15</v>
      </c>
      <c r="E60" t="s">
        <v>15</v>
      </c>
      <c r="F60" t="s">
        <v>349</v>
      </c>
      <c r="H60" s="8" t="s">
        <v>135</v>
      </c>
      <c r="I60" s="9"/>
      <c r="J60" s="10" t="s">
        <v>652</v>
      </c>
      <c r="K60" s="11" t="s">
        <v>40</v>
      </c>
      <c r="L60" t="s">
        <v>40</v>
      </c>
    </row>
    <row r="61" spans="3:12" x14ac:dyDescent="0.25">
      <c r="C61" t="s">
        <v>483</v>
      </c>
      <c r="D61" t="s">
        <v>106</v>
      </c>
      <c r="E61" t="e">
        <v>#N/A</v>
      </c>
      <c r="F61" t="s">
        <v>483</v>
      </c>
      <c r="H61" s="12" t="s">
        <v>203</v>
      </c>
      <c r="I61" s="13"/>
      <c r="J61" s="14" t="s">
        <v>653</v>
      </c>
      <c r="K61" s="15" t="s">
        <v>48</v>
      </c>
      <c r="L61" t="s">
        <v>40</v>
      </c>
    </row>
    <row r="62" spans="3:12" x14ac:dyDescent="0.25">
      <c r="C62" t="s">
        <v>315</v>
      </c>
      <c r="D62" t="s">
        <v>57</v>
      </c>
      <c r="E62" t="s">
        <v>316</v>
      </c>
      <c r="F62" t="s">
        <v>315</v>
      </c>
      <c r="H62" s="8" t="s">
        <v>82</v>
      </c>
      <c r="I62" s="9"/>
      <c r="J62" s="10" t="s">
        <v>654</v>
      </c>
      <c r="K62" s="11" t="s">
        <v>61</v>
      </c>
      <c r="L62" t="s">
        <v>48</v>
      </c>
    </row>
    <row r="63" spans="3:12" x14ac:dyDescent="0.25">
      <c r="C63" t="s">
        <v>484</v>
      </c>
      <c r="D63" t="s">
        <v>108</v>
      </c>
      <c r="E63" t="e">
        <v>#N/A</v>
      </c>
      <c r="F63" t="s">
        <v>484</v>
      </c>
      <c r="H63" s="12" t="s">
        <v>208</v>
      </c>
      <c r="I63" s="13"/>
      <c r="J63" s="14" t="s">
        <v>655</v>
      </c>
      <c r="K63" s="15" t="s">
        <v>71</v>
      </c>
      <c r="L63" t="s">
        <v>61</v>
      </c>
    </row>
    <row r="64" spans="3:12" ht="30" x14ac:dyDescent="0.25">
      <c r="C64" t="s">
        <v>247</v>
      </c>
      <c r="D64" t="s">
        <v>25</v>
      </c>
      <c r="E64" t="s">
        <v>25</v>
      </c>
      <c r="F64" t="s">
        <v>247</v>
      </c>
      <c r="H64" s="8" t="s">
        <v>231</v>
      </c>
      <c r="I64" s="9"/>
      <c r="J64" s="10" t="s">
        <v>656</v>
      </c>
      <c r="K64" s="11" t="s">
        <v>51</v>
      </c>
      <c r="L64" t="s">
        <v>71</v>
      </c>
    </row>
    <row r="65" spans="3:12" x14ac:dyDescent="0.25">
      <c r="C65" t="s">
        <v>485</v>
      </c>
      <c r="D65" t="s">
        <v>109</v>
      </c>
      <c r="E65" t="e">
        <v>#N/A</v>
      </c>
      <c r="F65" t="s">
        <v>485</v>
      </c>
      <c r="H65" s="12" t="s">
        <v>56</v>
      </c>
      <c r="I65" s="13"/>
      <c r="J65" s="14" t="s">
        <v>657</v>
      </c>
      <c r="K65" s="15" t="s">
        <v>40</v>
      </c>
      <c r="L65" t="s">
        <v>51</v>
      </c>
    </row>
    <row r="66" spans="3:12" x14ac:dyDescent="0.25">
      <c r="C66" t="s">
        <v>486</v>
      </c>
      <c r="D66" t="s">
        <v>110</v>
      </c>
      <c r="E66" t="e">
        <v>#N/A</v>
      </c>
      <c r="F66" t="s">
        <v>486</v>
      </c>
      <c r="H66" s="8" t="s">
        <v>128</v>
      </c>
      <c r="I66" s="9"/>
      <c r="J66" s="10" t="s">
        <v>658</v>
      </c>
      <c r="K66" s="11" t="s">
        <v>71</v>
      </c>
      <c r="L66" t="s">
        <v>40</v>
      </c>
    </row>
    <row r="67" spans="3:12" x14ac:dyDescent="0.25">
      <c r="C67" t="s">
        <v>487</v>
      </c>
      <c r="D67" t="s">
        <v>427</v>
      </c>
      <c r="E67" t="e">
        <v>#N/A</v>
      </c>
      <c r="F67" t="s">
        <v>487</v>
      </c>
      <c r="H67" s="12" t="s">
        <v>79</v>
      </c>
      <c r="I67" s="13"/>
      <c r="J67" s="14" t="s">
        <v>659</v>
      </c>
      <c r="K67" s="15" t="s">
        <v>42</v>
      </c>
      <c r="L67" t="s">
        <v>71</v>
      </c>
    </row>
    <row r="68" spans="3:12" x14ac:dyDescent="0.25">
      <c r="C68" t="s">
        <v>419</v>
      </c>
      <c r="D68" t="s">
        <v>210</v>
      </c>
      <c r="E68" t="s">
        <v>210</v>
      </c>
      <c r="F68" t="s">
        <v>419</v>
      </c>
      <c r="H68" s="8" t="s">
        <v>168</v>
      </c>
      <c r="I68" s="9"/>
      <c r="J68" s="10" t="s">
        <v>660</v>
      </c>
      <c r="K68" s="11" t="s">
        <v>48</v>
      </c>
      <c r="L68" t="s">
        <v>42</v>
      </c>
    </row>
    <row r="69" spans="3:12" x14ac:dyDescent="0.25">
      <c r="C69" t="s">
        <v>256</v>
      </c>
      <c r="D69" t="s">
        <v>113</v>
      </c>
      <c r="E69" t="s">
        <v>257</v>
      </c>
      <c r="F69" t="s">
        <v>256</v>
      </c>
      <c r="H69" s="12" t="s">
        <v>178</v>
      </c>
      <c r="I69" s="13"/>
      <c r="J69" s="14" t="s">
        <v>661</v>
      </c>
      <c r="K69" s="15" t="s">
        <v>93</v>
      </c>
      <c r="L69" t="s">
        <v>48</v>
      </c>
    </row>
    <row r="70" spans="3:12" x14ac:dyDescent="0.25">
      <c r="C70" t="s">
        <v>354</v>
      </c>
      <c r="D70" t="s">
        <v>114</v>
      </c>
      <c r="E70" t="s">
        <v>355</v>
      </c>
      <c r="F70" t="s">
        <v>354</v>
      </c>
      <c r="H70" s="8" t="s">
        <v>8</v>
      </c>
      <c r="I70" s="9"/>
      <c r="J70" s="10" t="s">
        <v>662</v>
      </c>
      <c r="K70" s="11" t="s">
        <v>51</v>
      </c>
      <c r="L70" t="s">
        <v>93</v>
      </c>
    </row>
    <row r="71" spans="3:12" x14ac:dyDescent="0.25">
      <c r="C71" t="s">
        <v>488</v>
      </c>
      <c r="D71" t="s">
        <v>428</v>
      </c>
      <c r="E71" t="e">
        <v>#N/A</v>
      </c>
      <c r="F71" t="s">
        <v>488</v>
      </c>
      <c r="H71" s="12" t="s">
        <v>197</v>
      </c>
      <c r="I71" s="13"/>
      <c r="J71" s="14" t="s">
        <v>663</v>
      </c>
      <c r="K71" s="15" t="s">
        <v>40</v>
      </c>
      <c r="L71" t="s">
        <v>51</v>
      </c>
    </row>
    <row r="72" spans="3:12" x14ac:dyDescent="0.25">
      <c r="C72" t="s">
        <v>325</v>
      </c>
      <c r="D72" t="s">
        <v>217</v>
      </c>
      <c r="E72" t="s">
        <v>326</v>
      </c>
      <c r="F72" t="s">
        <v>325</v>
      </c>
      <c r="H72" s="8" t="s">
        <v>122</v>
      </c>
      <c r="I72" s="9"/>
      <c r="J72" s="10" t="s">
        <v>664</v>
      </c>
      <c r="K72" s="11" t="s">
        <v>71</v>
      </c>
      <c r="L72" t="s">
        <v>40</v>
      </c>
    </row>
    <row r="73" spans="3:12" x14ac:dyDescent="0.25">
      <c r="C73" t="s">
        <v>244</v>
      </c>
      <c r="D73" t="s">
        <v>10</v>
      </c>
      <c r="E73" t="s">
        <v>10</v>
      </c>
      <c r="F73" t="s">
        <v>244</v>
      </c>
      <c r="H73" s="12" t="s">
        <v>87</v>
      </c>
      <c r="I73" s="13"/>
      <c r="J73" s="14" t="s">
        <v>665</v>
      </c>
      <c r="K73" s="15" t="s">
        <v>88</v>
      </c>
      <c r="L73" t="s">
        <v>71</v>
      </c>
    </row>
    <row r="74" spans="3:12" x14ac:dyDescent="0.25">
      <c r="C74" t="s">
        <v>489</v>
      </c>
      <c r="D74" t="s">
        <v>219</v>
      </c>
      <c r="E74" t="e">
        <v>#N/A</v>
      </c>
      <c r="F74" t="s">
        <v>489</v>
      </c>
      <c r="H74" s="8" t="s">
        <v>90</v>
      </c>
      <c r="I74" s="9"/>
      <c r="J74" s="10" t="s">
        <v>666</v>
      </c>
      <c r="K74" s="11" t="s">
        <v>51</v>
      </c>
      <c r="L74" t="s">
        <v>88</v>
      </c>
    </row>
    <row r="75" spans="3:12" x14ac:dyDescent="0.25">
      <c r="C75" t="s">
        <v>490</v>
      </c>
      <c r="D75" t="s">
        <v>429</v>
      </c>
      <c r="E75" t="e">
        <v>#N/A</v>
      </c>
      <c r="F75" t="s">
        <v>490</v>
      </c>
      <c r="H75" s="12" t="s">
        <v>118</v>
      </c>
      <c r="I75" s="13"/>
      <c r="J75" s="14" t="s">
        <v>667</v>
      </c>
      <c r="K75" s="15" t="s">
        <v>93</v>
      </c>
      <c r="L75" t="s">
        <v>51</v>
      </c>
    </row>
    <row r="76" spans="3:12" x14ac:dyDescent="0.25">
      <c r="C76" t="s">
        <v>491</v>
      </c>
      <c r="D76" t="s">
        <v>222</v>
      </c>
      <c r="E76" t="e">
        <v>#N/A</v>
      </c>
      <c r="F76" t="s">
        <v>491</v>
      </c>
      <c r="H76" s="8" t="s">
        <v>180</v>
      </c>
      <c r="I76" s="9"/>
      <c r="J76" s="10" t="s">
        <v>668</v>
      </c>
      <c r="K76" s="11" t="s">
        <v>93</v>
      </c>
      <c r="L76" t="s">
        <v>93</v>
      </c>
    </row>
    <row r="77" spans="3:12" x14ac:dyDescent="0.25">
      <c r="C77" t="s">
        <v>266</v>
      </c>
      <c r="D77" t="s">
        <v>117</v>
      </c>
      <c r="E77" t="s">
        <v>267</v>
      </c>
      <c r="F77" t="s">
        <v>266</v>
      </c>
      <c r="H77" s="12" t="s">
        <v>109</v>
      </c>
      <c r="I77" s="13"/>
      <c r="J77" s="14" t="s">
        <v>669</v>
      </c>
      <c r="K77" s="15" t="s">
        <v>46</v>
      </c>
      <c r="L77" t="s">
        <v>93</v>
      </c>
    </row>
    <row r="78" spans="3:12" x14ac:dyDescent="0.25">
      <c r="C78" t="s">
        <v>303</v>
      </c>
      <c r="D78" t="s">
        <v>118</v>
      </c>
      <c r="E78" t="s">
        <v>304</v>
      </c>
      <c r="F78" t="s">
        <v>303</v>
      </c>
      <c r="H78" s="8" t="s">
        <v>20</v>
      </c>
      <c r="I78" s="9"/>
      <c r="J78" s="10" t="s">
        <v>670</v>
      </c>
      <c r="K78" s="11" t="s">
        <v>93</v>
      </c>
      <c r="L78" t="s">
        <v>46</v>
      </c>
    </row>
    <row r="79" spans="3:12" x14ac:dyDescent="0.25">
      <c r="C79" t="s">
        <v>492</v>
      </c>
      <c r="D79" t="s">
        <v>227</v>
      </c>
      <c r="E79" t="e">
        <v>#N/A</v>
      </c>
      <c r="F79" t="s">
        <v>492</v>
      </c>
      <c r="H79" s="12" t="s">
        <v>106</v>
      </c>
      <c r="I79" s="13"/>
      <c r="J79" s="14" t="s">
        <v>671</v>
      </c>
      <c r="K79" s="15" t="s">
        <v>48</v>
      </c>
      <c r="L79" t="s">
        <v>93</v>
      </c>
    </row>
    <row r="80" spans="3:12" x14ac:dyDescent="0.25">
      <c r="C80" t="s">
        <v>493</v>
      </c>
      <c r="D80" t="s">
        <v>430</v>
      </c>
      <c r="E80" t="e">
        <v>#N/A</v>
      </c>
      <c r="F80" t="s">
        <v>493</v>
      </c>
      <c r="H80" s="8" t="s">
        <v>134</v>
      </c>
      <c r="I80" s="9"/>
      <c r="J80" s="10" t="s">
        <v>672</v>
      </c>
      <c r="K80" s="11" t="s">
        <v>88</v>
      </c>
      <c r="L80" t="s">
        <v>48</v>
      </c>
    </row>
    <row r="81" spans="3:12" x14ac:dyDescent="0.25">
      <c r="C81" t="s">
        <v>494</v>
      </c>
      <c r="D81" t="s">
        <v>232</v>
      </c>
      <c r="E81" t="e">
        <v>#N/A</v>
      </c>
      <c r="F81" t="s">
        <v>494</v>
      </c>
      <c r="H81" s="12" t="s">
        <v>162</v>
      </c>
      <c r="I81" s="13"/>
      <c r="J81" s="14" t="s">
        <v>673</v>
      </c>
      <c r="K81" s="15" t="s">
        <v>44</v>
      </c>
      <c r="L81" t="s">
        <v>88</v>
      </c>
    </row>
    <row r="82" spans="3:12" x14ac:dyDescent="0.25">
      <c r="C82" t="s">
        <v>374</v>
      </c>
      <c r="D82" t="s">
        <v>39</v>
      </c>
      <c r="E82" t="s">
        <v>375</v>
      </c>
      <c r="F82" t="s">
        <v>374</v>
      </c>
      <c r="H82" s="8" t="s">
        <v>179</v>
      </c>
      <c r="I82" s="9"/>
      <c r="J82" s="10" t="s">
        <v>674</v>
      </c>
      <c r="K82" s="11" t="s">
        <v>93</v>
      </c>
      <c r="L82" t="s">
        <v>44</v>
      </c>
    </row>
    <row r="83" spans="3:12" x14ac:dyDescent="0.25">
      <c r="C83" t="s">
        <v>307</v>
      </c>
      <c r="D83" t="s">
        <v>11</v>
      </c>
      <c r="E83" t="s">
        <v>11</v>
      </c>
      <c r="F83" t="s">
        <v>307</v>
      </c>
      <c r="H83" s="12" t="s">
        <v>102</v>
      </c>
      <c r="I83" s="13"/>
      <c r="J83" s="14" t="s">
        <v>675</v>
      </c>
      <c r="K83" s="15" t="s">
        <v>40</v>
      </c>
      <c r="L83" t="s">
        <v>93</v>
      </c>
    </row>
    <row r="84" spans="3:12" x14ac:dyDescent="0.25">
      <c r="C84" t="s">
        <v>396</v>
      </c>
      <c r="D84" t="s">
        <v>19</v>
      </c>
      <c r="E84" t="s">
        <v>19</v>
      </c>
      <c r="F84" t="s">
        <v>396</v>
      </c>
      <c r="H84" s="8" t="s">
        <v>187</v>
      </c>
      <c r="I84" s="9"/>
      <c r="J84" s="10" t="s">
        <v>676</v>
      </c>
      <c r="K84" s="11" t="s">
        <v>44</v>
      </c>
      <c r="L84" t="s">
        <v>40</v>
      </c>
    </row>
    <row r="85" spans="3:12" x14ac:dyDescent="0.25">
      <c r="C85" t="s">
        <v>420</v>
      </c>
      <c r="D85" t="s">
        <v>43</v>
      </c>
      <c r="E85" t="s">
        <v>43</v>
      </c>
      <c r="F85" t="s">
        <v>420</v>
      </c>
      <c r="H85" s="12" t="s">
        <v>91</v>
      </c>
      <c r="I85" s="13"/>
      <c r="J85" s="14" t="s">
        <v>677</v>
      </c>
      <c r="K85" s="15" t="s">
        <v>51</v>
      </c>
      <c r="L85" t="s">
        <v>44</v>
      </c>
    </row>
    <row r="86" spans="3:12" x14ac:dyDescent="0.25">
      <c r="C86" t="s">
        <v>495</v>
      </c>
      <c r="D86" t="s">
        <v>58</v>
      </c>
      <c r="E86" t="e">
        <v>#N/A</v>
      </c>
      <c r="F86" t="s">
        <v>495</v>
      </c>
      <c r="H86" s="8" t="s">
        <v>190</v>
      </c>
      <c r="I86" s="9"/>
      <c r="J86" s="10" t="s">
        <v>678</v>
      </c>
      <c r="K86" s="11" t="s">
        <v>40</v>
      </c>
      <c r="L86" t="s">
        <v>51</v>
      </c>
    </row>
    <row r="87" spans="3:12" x14ac:dyDescent="0.25">
      <c r="C87" t="s">
        <v>496</v>
      </c>
      <c r="D87" t="s">
        <v>45</v>
      </c>
      <c r="E87" t="e">
        <v>#N/A</v>
      </c>
      <c r="F87" t="s">
        <v>496</v>
      </c>
      <c r="H87" s="12" t="s">
        <v>205</v>
      </c>
      <c r="I87" s="13"/>
      <c r="J87" s="14" t="s">
        <v>679</v>
      </c>
      <c r="K87" s="15" t="s">
        <v>77</v>
      </c>
      <c r="L87" t="s">
        <v>40</v>
      </c>
    </row>
    <row r="88" spans="3:12" x14ac:dyDescent="0.25">
      <c r="C88" t="s">
        <v>497</v>
      </c>
      <c r="D88" t="s">
        <v>431</v>
      </c>
      <c r="E88" t="e">
        <v>#N/A</v>
      </c>
      <c r="F88" t="s">
        <v>497</v>
      </c>
      <c r="H88" s="8" t="s">
        <v>5</v>
      </c>
      <c r="I88" s="9"/>
      <c r="J88" s="10" t="s">
        <v>680</v>
      </c>
      <c r="K88" s="11" t="s">
        <v>48</v>
      </c>
      <c r="L88" t="s">
        <v>77</v>
      </c>
    </row>
    <row r="89" spans="3:12" x14ac:dyDescent="0.25">
      <c r="C89" t="s">
        <v>321</v>
      </c>
      <c r="D89" t="s">
        <v>22</v>
      </c>
      <c r="E89" t="s">
        <v>22</v>
      </c>
      <c r="F89" t="s">
        <v>321</v>
      </c>
      <c r="H89" s="12" t="s">
        <v>170</v>
      </c>
      <c r="I89" s="13"/>
      <c r="J89" s="14" t="s">
        <v>681</v>
      </c>
      <c r="K89" s="15" t="s">
        <v>48</v>
      </c>
      <c r="L89" t="s">
        <v>48</v>
      </c>
    </row>
    <row r="90" spans="3:12" x14ac:dyDescent="0.25">
      <c r="C90" t="s">
        <v>498</v>
      </c>
      <c r="D90" t="s">
        <v>63</v>
      </c>
      <c r="E90" t="e">
        <v>#N/A</v>
      </c>
      <c r="F90" t="s">
        <v>498</v>
      </c>
      <c r="H90" s="8" t="s">
        <v>198</v>
      </c>
      <c r="I90" s="9"/>
      <c r="J90" s="10" t="s">
        <v>682</v>
      </c>
      <c r="K90" s="11" t="s">
        <v>77</v>
      </c>
      <c r="L90" t="s">
        <v>48</v>
      </c>
    </row>
    <row r="91" spans="3:12" x14ac:dyDescent="0.25">
      <c r="C91" t="s">
        <v>499</v>
      </c>
      <c r="D91" t="s">
        <v>432</v>
      </c>
      <c r="E91" t="e">
        <v>#N/A</v>
      </c>
      <c r="F91" t="s">
        <v>499</v>
      </c>
      <c r="H91" s="12" t="s">
        <v>220</v>
      </c>
      <c r="I91" s="13"/>
      <c r="J91" s="14" t="s">
        <v>683</v>
      </c>
      <c r="K91" s="15" t="s">
        <v>44</v>
      </c>
      <c r="L91" t="s">
        <v>77</v>
      </c>
    </row>
    <row r="92" spans="3:12" x14ac:dyDescent="0.25">
      <c r="C92" t="s">
        <v>500</v>
      </c>
      <c r="D92" t="s">
        <v>53</v>
      </c>
      <c r="E92" t="e">
        <v>#N/A</v>
      </c>
      <c r="F92" t="s">
        <v>500</v>
      </c>
      <c r="H92" s="8" t="s">
        <v>429</v>
      </c>
      <c r="I92" s="9"/>
      <c r="J92" s="10" t="s">
        <v>684</v>
      </c>
      <c r="K92" s="11" t="s">
        <v>44</v>
      </c>
      <c r="L92" t="s">
        <v>44</v>
      </c>
    </row>
    <row r="93" spans="3:12" x14ac:dyDescent="0.25">
      <c r="C93" t="s">
        <v>501</v>
      </c>
      <c r="D93" t="s">
        <v>433</v>
      </c>
      <c r="E93" t="e">
        <v>#N/A</v>
      </c>
      <c r="F93" t="s">
        <v>501</v>
      </c>
      <c r="H93" s="12" t="s">
        <v>209</v>
      </c>
      <c r="I93" s="13"/>
      <c r="J93" s="14" t="s">
        <v>685</v>
      </c>
      <c r="K93" s="15" t="s">
        <v>111</v>
      </c>
      <c r="L93" t="s">
        <v>44</v>
      </c>
    </row>
    <row r="94" spans="3:12" x14ac:dyDescent="0.25">
      <c r="C94" t="s">
        <v>502</v>
      </c>
      <c r="D94" t="s">
        <v>66</v>
      </c>
      <c r="E94" t="e">
        <v>#N/A</v>
      </c>
      <c r="F94" t="s">
        <v>502</v>
      </c>
      <c r="H94" s="8" t="s">
        <v>123</v>
      </c>
      <c r="I94" s="9"/>
      <c r="J94" s="10" t="s">
        <v>686</v>
      </c>
      <c r="K94" s="11" t="s">
        <v>46</v>
      </c>
      <c r="L94" t="s">
        <v>111</v>
      </c>
    </row>
    <row r="95" spans="3:12" x14ac:dyDescent="0.25">
      <c r="C95" t="s">
        <v>503</v>
      </c>
      <c r="D95" t="s">
        <v>128</v>
      </c>
      <c r="E95" t="e">
        <v>#N/A</v>
      </c>
      <c r="F95" t="s">
        <v>503</v>
      </c>
      <c r="H95" s="12" t="s">
        <v>121</v>
      </c>
      <c r="I95" s="13"/>
      <c r="J95" s="14" t="s">
        <v>687</v>
      </c>
      <c r="K95" s="15" t="s">
        <v>61</v>
      </c>
      <c r="L95" t="s">
        <v>46</v>
      </c>
    </row>
    <row r="96" spans="3:12" x14ac:dyDescent="0.25">
      <c r="C96" t="s">
        <v>504</v>
      </c>
      <c r="D96" t="s">
        <v>68</v>
      </c>
      <c r="E96" t="e">
        <v>#N/A</v>
      </c>
      <c r="F96" t="s">
        <v>504</v>
      </c>
      <c r="H96" s="8" t="s">
        <v>191</v>
      </c>
      <c r="I96" s="9"/>
      <c r="J96" s="10" t="s">
        <v>688</v>
      </c>
      <c r="K96" s="11" t="s">
        <v>40</v>
      </c>
      <c r="L96" t="s">
        <v>61</v>
      </c>
    </row>
    <row r="97" spans="3:12" x14ac:dyDescent="0.25">
      <c r="C97" t="s">
        <v>505</v>
      </c>
      <c r="D97" t="s">
        <v>130</v>
      </c>
      <c r="E97" t="e">
        <v>#N/A</v>
      </c>
      <c r="F97" t="s">
        <v>505</v>
      </c>
      <c r="H97" s="12" t="s">
        <v>100</v>
      </c>
      <c r="I97" s="13"/>
      <c r="J97" s="14" t="s">
        <v>689</v>
      </c>
      <c r="K97" s="15" t="s">
        <v>40</v>
      </c>
      <c r="L97" t="s">
        <v>40</v>
      </c>
    </row>
    <row r="98" spans="3:12" x14ac:dyDescent="0.25">
      <c r="C98" t="s">
        <v>506</v>
      </c>
      <c r="D98" t="s">
        <v>7</v>
      </c>
      <c r="E98" t="e">
        <v>#N/A</v>
      </c>
      <c r="F98" t="s">
        <v>506</v>
      </c>
      <c r="H98" s="8" t="s">
        <v>136</v>
      </c>
      <c r="I98" s="9"/>
      <c r="J98" s="10" t="s">
        <v>690</v>
      </c>
      <c r="K98" s="11" t="s">
        <v>71</v>
      </c>
      <c r="L98" t="s">
        <v>40</v>
      </c>
    </row>
    <row r="99" spans="3:12" x14ac:dyDescent="0.25">
      <c r="C99" t="s">
        <v>322</v>
      </c>
      <c r="D99" t="s">
        <v>5</v>
      </c>
      <c r="E99" t="s">
        <v>5</v>
      </c>
      <c r="F99" t="s">
        <v>322</v>
      </c>
      <c r="H99" s="12" t="s">
        <v>22</v>
      </c>
      <c r="I99" s="13"/>
      <c r="J99" s="14" t="s">
        <v>691</v>
      </c>
      <c r="K99" s="15" t="s">
        <v>49</v>
      </c>
      <c r="L99" t="s">
        <v>71</v>
      </c>
    </row>
    <row r="100" spans="3:12" x14ac:dyDescent="0.25">
      <c r="C100" t="s">
        <v>377</v>
      </c>
      <c r="D100" t="s">
        <v>69</v>
      </c>
      <c r="E100" t="s">
        <v>378</v>
      </c>
      <c r="F100" t="s">
        <v>377</v>
      </c>
      <c r="H100" s="8" t="s">
        <v>150</v>
      </c>
      <c r="I100" s="9"/>
      <c r="J100" s="10" t="s">
        <v>692</v>
      </c>
      <c r="K100" s="11" t="s">
        <v>51</v>
      </c>
      <c r="L100" t="s">
        <v>49</v>
      </c>
    </row>
    <row r="101" spans="3:12" x14ac:dyDescent="0.25">
      <c r="C101" t="s">
        <v>507</v>
      </c>
      <c r="D101" t="s">
        <v>133</v>
      </c>
      <c r="E101" t="e">
        <v>#N/A</v>
      </c>
      <c r="F101" t="s">
        <v>507</v>
      </c>
      <c r="H101" s="12" t="s">
        <v>110</v>
      </c>
      <c r="I101" s="13"/>
      <c r="J101" s="14" t="s">
        <v>693</v>
      </c>
      <c r="K101" s="15" t="s">
        <v>111</v>
      </c>
      <c r="L101" t="s">
        <v>51</v>
      </c>
    </row>
    <row r="102" spans="3:12" x14ac:dyDescent="0.25">
      <c r="C102" t="s">
        <v>508</v>
      </c>
      <c r="D102" t="s">
        <v>434</v>
      </c>
      <c r="E102" t="e">
        <v>#N/A</v>
      </c>
      <c r="F102" t="s">
        <v>508</v>
      </c>
      <c r="H102" s="8" t="s">
        <v>423</v>
      </c>
      <c r="I102" s="9"/>
      <c r="J102" s="10" t="s">
        <v>694</v>
      </c>
      <c r="K102" s="11" t="s">
        <v>59</v>
      </c>
      <c r="L102" t="s">
        <v>111</v>
      </c>
    </row>
    <row r="103" spans="3:12" x14ac:dyDescent="0.25">
      <c r="C103" t="s">
        <v>509</v>
      </c>
      <c r="D103" t="s">
        <v>136</v>
      </c>
      <c r="E103" t="e">
        <v>#N/A</v>
      </c>
      <c r="F103" t="s">
        <v>509</v>
      </c>
      <c r="H103" s="12" t="s">
        <v>6</v>
      </c>
      <c r="I103" s="13"/>
      <c r="J103" s="14" t="s">
        <v>695</v>
      </c>
      <c r="K103" s="15" t="s">
        <v>59</v>
      </c>
      <c r="L103" t="s">
        <v>59</v>
      </c>
    </row>
    <row r="104" spans="3:12" x14ac:dyDescent="0.25">
      <c r="C104" t="s">
        <v>417</v>
      </c>
      <c r="D104" t="s">
        <v>72</v>
      </c>
      <c r="E104" t="s">
        <v>72</v>
      </c>
      <c r="F104" t="s">
        <v>417</v>
      </c>
      <c r="H104" s="8" t="s">
        <v>73</v>
      </c>
      <c r="I104" s="9"/>
      <c r="J104" s="10" t="s">
        <v>696</v>
      </c>
      <c r="K104" s="11" t="s">
        <v>48</v>
      </c>
      <c r="L104" t="s">
        <v>59</v>
      </c>
    </row>
    <row r="105" spans="3:12" x14ac:dyDescent="0.25">
      <c r="C105" t="s">
        <v>282</v>
      </c>
      <c r="D105" t="s">
        <v>435</v>
      </c>
      <c r="E105" t="s">
        <v>283</v>
      </c>
      <c r="F105" t="s">
        <v>282</v>
      </c>
      <c r="H105" s="12" t="s">
        <v>194</v>
      </c>
      <c r="I105" s="13"/>
      <c r="J105" s="14" t="s">
        <v>697</v>
      </c>
      <c r="K105" s="15" t="s">
        <v>67</v>
      </c>
      <c r="L105" t="s">
        <v>48</v>
      </c>
    </row>
    <row r="106" spans="3:12" x14ac:dyDescent="0.25">
      <c r="C106" t="s">
        <v>258</v>
      </c>
      <c r="D106" t="s">
        <v>139</v>
      </c>
      <c r="E106" t="s">
        <v>259</v>
      </c>
      <c r="F106" t="s">
        <v>258</v>
      </c>
      <c r="H106" s="8" t="s">
        <v>127</v>
      </c>
      <c r="I106" s="9"/>
      <c r="J106" s="10" t="s">
        <v>698</v>
      </c>
      <c r="K106" s="11" t="s">
        <v>77</v>
      </c>
      <c r="L106" t="s">
        <v>67</v>
      </c>
    </row>
    <row r="107" spans="3:12" x14ac:dyDescent="0.25">
      <c r="C107" t="s">
        <v>511</v>
      </c>
      <c r="D107" t="s">
        <v>73</v>
      </c>
      <c r="E107" t="e">
        <v>#N/A</v>
      </c>
      <c r="F107" t="s">
        <v>511</v>
      </c>
      <c r="H107" s="12" t="s">
        <v>107</v>
      </c>
      <c r="I107" s="13"/>
      <c r="J107" s="14" t="s">
        <v>699</v>
      </c>
      <c r="K107" s="15" t="s">
        <v>59</v>
      </c>
      <c r="L107" t="s">
        <v>77</v>
      </c>
    </row>
    <row r="108" spans="3:12" x14ac:dyDescent="0.25">
      <c r="C108" t="s">
        <v>512</v>
      </c>
      <c r="D108" t="s">
        <v>140</v>
      </c>
      <c r="E108" t="e">
        <v>#N/A</v>
      </c>
      <c r="F108" t="s">
        <v>512</v>
      </c>
      <c r="H108" s="8" t="s">
        <v>174</v>
      </c>
      <c r="I108" s="9"/>
      <c r="J108" s="10" t="s">
        <v>700</v>
      </c>
      <c r="K108" s="11" t="s">
        <v>40</v>
      </c>
      <c r="L108" t="s">
        <v>59</v>
      </c>
    </row>
    <row r="109" spans="3:12" x14ac:dyDescent="0.25">
      <c r="C109" t="s">
        <v>513</v>
      </c>
      <c r="D109" t="s">
        <v>436</v>
      </c>
      <c r="E109" t="e">
        <v>#N/A</v>
      </c>
      <c r="F109" t="s">
        <v>513</v>
      </c>
      <c r="H109" s="12" t="s">
        <v>214</v>
      </c>
      <c r="I109" s="13"/>
      <c r="J109" s="14" t="s">
        <v>701</v>
      </c>
      <c r="K109" s="15" t="s">
        <v>40</v>
      </c>
      <c r="L109" t="s">
        <v>40</v>
      </c>
    </row>
    <row r="110" spans="3:12" x14ac:dyDescent="0.25">
      <c r="C110" t="s">
        <v>514</v>
      </c>
      <c r="D110" t="s">
        <v>437</v>
      </c>
      <c r="E110" t="e">
        <v>#N/A</v>
      </c>
      <c r="F110" t="s">
        <v>514</v>
      </c>
      <c r="H110" s="8" t="s">
        <v>200</v>
      </c>
      <c r="I110" s="9"/>
      <c r="J110" s="10" t="s">
        <v>702</v>
      </c>
      <c r="K110" s="11" t="s">
        <v>44</v>
      </c>
      <c r="L110" t="s">
        <v>40</v>
      </c>
    </row>
    <row r="111" spans="3:12" x14ac:dyDescent="0.25">
      <c r="C111" t="s">
        <v>515</v>
      </c>
      <c r="D111" t="s">
        <v>438</v>
      </c>
      <c r="E111" t="e">
        <v>#N/A</v>
      </c>
      <c r="F111" t="s">
        <v>515</v>
      </c>
      <c r="H111" s="12" t="s">
        <v>7</v>
      </c>
      <c r="I111" s="13"/>
      <c r="J111" s="14" t="s">
        <v>703</v>
      </c>
      <c r="K111" s="15" t="s">
        <v>48</v>
      </c>
      <c r="L111" t="s">
        <v>44</v>
      </c>
    </row>
    <row r="112" spans="3:12" x14ac:dyDescent="0.25">
      <c r="C112" t="s">
        <v>516</v>
      </c>
      <c r="D112" t="s">
        <v>439</v>
      </c>
      <c r="E112" t="e">
        <v>#N/A</v>
      </c>
      <c r="F112" t="s">
        <v>516</v>
      </c>
      <c r="H112" s="8" t="s">
        <v>26</v>
      </c>
      <c r="I112" s="9"/>
      <c r="J112" s="10" t="s">
        <v>704</v>
      </c>
      <c r="K112" s="11" t="s">
        <v>44</v>
      </c>
      <c r="L112" t="s">
        <v>48</v>
      </c>
    </row>
    <row r="113" spans="3:12" x14ac:dyDescent="0.25">
      <c r="C113" t="s">
        <v>517</v>
      </c>
      <c r="D113" t="s">
        <v>143</v>
      </c>
      <c r="E113" t="e">
        <v>#N/A</v>
      </c>
      <c r="F113" t="s">
        <v>517</v>
      </c>
      <c r="H113" s="12" t="s">
        <v>89</v>
      </c>
      <c r="I113" s="13"/>
      <c r="J113" s="14" t="s">
        <v>705</v>
      </c>
      <c r="K113" s="15" t="s">
        <v>88</v>
      </c>
      <c r="L113" t="s">
        <v>44</v>
      </c>
    </row>
    <row r="114" spans="3:12" x14ac:dyDescent="0.25">
      <c r="C114" t="s">
        <v>391</v>
      </c>
      <c r="D114" t="s">
        <v>145</v>
      </c>
      <c r="E114" t="s">
        <v>392</v>
      </c>
      <c r="F114" t="s">
        <v>391</v>
      </c>
      <c r="H114" s="8" t="s">
        <v>157</v>
      </c>
      <c r="I114" s="9"/>
      <c r="J114" s="10" t="s">
        <v>706</v>
      </c>
      <c r="K114" s="11" t="s">
        <v>48</v>
      </c>
      <c r="L114" t="s">
        <v>88</v>
      </c>
    </row>
    <row r="115" spans="3:12" x14ac:dyDescent="0.25">
      <c r="C115" t="s">
        <v>305</v>
      </c>
      <c r="D115" t="s">
        <v>146</v>
      </c>
      <c r="E115" t="s">
        <v>306</v>
      </c>
      <c r="F115" t="s">
        <v>305</v>
      </c>
      <c r="H115" s="12" t="s">
        <v>173</v>
      </c>
      <c r="I115" s="13"/>
      <c r="J115" s="14" t="s">
        <v>707</v>
      </c>
      <c r="K115" s="15" t="s">
        <v>88</v>
      </c>
      <c r="L115" t="s">
        <v>48</v>
      </c>
    </row>
    <row r="116" spans="3:12" x14ac:dyDescent="0.25">
      <c r="C116" t="s">
        <v>299</v>
      </c>
      <c r="D116" t="s">
        <v>78</v>
      </c>
      <c r="E116" t="s">
        <v>300</v>
      </c>
      <c r="F116" t="s">
        <v>299</v>
      </c>
      <c r="H116" s="8" t="s">
        <v>425</v>
      </c>
      <c r="I116" s="9"/>
      <c r="J116" s="10" t="s">
        <v>708</v>
      </c>
      <c r="K116" s="11" t="s">
        <v>44</v>
      </c>
      <c r="L116" t="s">
        <v>88</v>
      </c>
    </row>
    <row r="117" spans="3:12" x14ac:dyDescent="0.25">
      <c r="C117" t="s">
        <v>518</v>
      </c>
      <c r="D117" t="s">
        <v>147</v>
      </c>
      <c r="E117" t="e">
        <v>#N/A</v>
      </c>
      <c r="F117" t="s">
        <v>518</v>
      </c>
      <c r="H117" s="12" t="s">
        <v>155</v>
      </c>
      <c r="I117" s="13"/>
      <c r="J117" s="14" t="s">
        <v>709</v>
      </c>
      <c r="K117" s="15" t="s">
        <v>51</v>
      </c>
      <c r="L117" t="s">
        <v>44</v>
      </c>
    </row>
    <row r="118" spans="3:12" x14ac:dyDescent="0.25">
      <c r="C118" t="s">
        <v>519</v>
      </c>
      <c r="D118" t="s">
        <v>440</v>
      </c>
      <c r="E118" t="e">
        <v>#N/A</v>
      </c>
      <c r="F118" t="s">
        <v>519</v>
      </c>
      <c r="H118" s="8" t="s">
        <v>115</v>
      </c>
      <c r="I118" s="9"/>
      <c r="J118" s="10" t="s">
        <v>710</v>
      </c>
      <c r="K118" s="11" t="s">
        <v>67</v>
      </c>
      <c r="L118" t="s">
        <v>51</v>
      </c>
    </row>
    <row r="119" spans="3:12" x14ac:dyDescent="0.25">
      <c r="C119" t="s">
        <v>520</v>
      </c>
      <c r="D119" t="s">
        <v>79</v>
      </c>
      <c r="E119" t="e">
        <v>#N/A</v>
      </c>
      <c r="F119" t="s">
        <v>520</v>
      </c>
      <c r="H119" s="12" t="s">
        <v>440</v>
      </c>
      <c r="I119" s="13"/>
      <c r="J119" s="14" t="s">
        <v>711</v>
      </c>
      <c r="K119" s="15" t="s">
        <v>42</v>
      </c>
      <c r="L119" t="s">
        <v>67</v>
      </c>
    </row>
    <row r="120" spans="3:12" x14ac:dyDescent="0.25">
      <c r="C120" t="s">
        <v>323</v>
      </c>
      <c r="D120" t="s">
        <v>150</v>
      </c>
      <c r="E120" t="s">
        <v>324</v>
      </c>
      <c r="F120" t="s">
        <v>323</v>
      </c>
      <c r="H120" s="8" t="s">
        <v>188</v>
      </c>
      <c r="I120" s="9"/>
      <c r="J120" s="10" t="s">
        <v>712</v>
      </c>
      <c r="K120" s="11" t="s">
        <v>40</v>
      </c>
      <c r="L120" t="s">
        <v>42</v>
      </c>
    </row>
    <row r="121" spans="3:12" x14ac:dyDescent="0.25">
      <c r="C121" t="s">
        <v>376</v>
      </c>
      <c r="D121" t="s">
        <v>29</v>
      </c>
      <c r="E121" t="s">
        <v>29</v>
      </c>
      <c r="F121" t="s">
        <v>376</v>
      </c>
      <c r="H121" s="12" t="s">
        <v>19</v>
      </c>
      <c r="I121" s="13"/>
      <c r="J121" s="14" t="s">
        <v>713</v>
      </c>
      <c r="K121" s="15" t="s">
        <v>42</v>
      </c>
      <c r="L121" t="s">
        <v>40</v>
      </c>
    </row>
    <row r="122" spans="3:12" x14ac:dyDescent="0.25">
      <c r="C122" t="s">
        <v>521</v>
      </c>
      <c r="D122" t="s">
        <v>151</v>
      </c>
      <c r="E122" t="e">
        <v>#N/A</v>
      </c>
      <c r="F122" t="s">
        <v>521</v>
      </c>
      <c r="H122" s="8" t="s">
        <v>57</v>
      </c>
      <c r="I122" s="9"/>
      <c r="J122" s="10" t="s">
        <v>714</v>
      </c>
      <c r="K122" s="11" t="s">
        <v>54</v>
      </c>
      <c r="L122" t="s">
        <v>42</v>
      </c>
    </row>
    <row r="123" spans="3:12" x14ac:dyDescent="0.25">
      <c r="C123" t="s">
        <v>291</v>
      </c>
      <c r="D123" t="s">
        <v>82</v>
      </c>
      <c r="E123" t="s">
        <v>292</v>
      </c>
      <c r="F123" t="s">
        <v>291</v>
      </c>
      <c r="H123" s="12" t="s">
        <v>227</v>
      </c>
      <c r="I123" s="13"/>
      <c r="J123" s="14" t="s">
        <v>715</v>
      </c>
      <c r="K123" s="15" t="s">
        <v>44</v>
      </c>
      <c r="L123" t="s">
        <v>54</v>
      </c>
    </row>
    <row r="124" spans="3:12" x14ac:dyDescent="0.25">
      <c r="C124" t="s">
        <v>404</v>
      </c>
      <c r="D124" t="s">
        <v>154</v>
      </c>
      <c r="E124" t="s">
        <v>405</v>
      </c>
      <c r="F124" t="s">
        <v>404</v>
      </c>
      <c r="H124" s="8" t="s">
        <v>422</v>
      </c>
      <c r="I124" s="9"/>
      <c r="J124" s="10" t="s">
        <v>716</v>
      </c>
      <c r="K124" s="11" t="s">
        <v>44</v>
      </c>
      <c r="L124" t="s">
        <v>44</v>
      </c>
    </row>
    <row r="125" spans="3:12" x14ac:dyDescent="0.25">
      <c r="C125" t="s">
        <v>381</v>
      </c>
      <c r="D125" t="s">
        <v>155</v>
      </c>
      <c r="E125" t="s">
        <v>382</v>
      </c>
      <c r="F125" t="s">
        <v>381</v>
      </c>
      <c r="H125" s="12" t="s">
        <v>113</v>
      </c>
      <c r="I125" s="13"/>
      <c r="J125" s="14" t="s">
        <v>717</v>
      </c>
      <c r="K125" s="15" t="s">
        <v>71</v>
      </c>
      <c r="L125" t="s">
        <v>44</v>
      </c>
    </row>
    <row r="126" spans="3:12" x14ac:dyDescent="0.25">
      <c r="C126" t="s">
        <v>522</v>
      </c>
      <c r="D126" t="s">
        <v>157</v>
      </c>
      <c r="E126" t="e">
        <v>#N/A</v>
      </c>
      <c r="F126" t="s">
        <v>522</v>
      </c>
      <c r="H126" s="8" t="s">
        <v>221</v>
      </c>
      <c r="I126" s="9"/>
      <c r="J126" s="10" t="s">
        <v>718</v>
      </c>
      <c r="K126" s="11" t="s">
        <v>59</v>
      </c>
      <c r="L126" t="s">
        <v>71</v>
      </c>
    </row>
    <row r="127" spans="3:12" x14ac:dyDescent="0.25">
      <c r="C127" t="s">
        <v>523</v>
      </c>
      <c r="D127" t="s">
        <v>20</v>
      </c>
      <c r="E127" t="e">
        <v>#N/A</v>
      </c>
      <c r="F127" t="s">
        <v>523</v>
      </c>
      <c r="H127" s="12" t="s">
        <v>24</v>
      </c>
      <c r="I127" s="13"/>
      <c r="J127" s="14" t="s">
        <v>719</v>
      </c>
      <c r="K127" s="15" t="s">
        <v>40</v>
      </c>
      <c r="L127" t="s">
        <v>59</v>
      </c>
    </row>
    <row r="128" spans="3:12" x14ac:dyDescent="0.25">
      <c r="C128" t="s">
        <v>276</v>
      </c>
      <c r="D128" t="s">
        <v>158</v>
      </c>
      <c r="E128" t="s">
        <v>277</v>
      </c>
      <c r="F128" t="s">
        <v>276</v>
      </c>
      <c r="H128" s="8" t="s">
        <v>64</v>
      </c>
      <c r="I128" s="9"/>
      <c r="J128" s="10" t="s">
        <v>720</v>
      </c>
      <c r="K128" s="11" t="s">
        <v>59</v>
      </c>
      <c r="L128" t="s">
        <v>40</v>
      </c>
    </row>
    <row r="129" spans="3:12" x14ac:dyDescent="0.25">
      <c r="C129" t="s">
        <v>237</v>
      </c>
      <c r="D129" t="s">
        <v>160</v>
      </c>
      <c r="E129" t="s">
        <v>238</v>
      </c>
      <c r="F129" t="s">
        <v>237</v>
      </c>
      <c r="H129" s="12" t="s">
        <v>39</v>
      </c>
      <c r="I129" s="13"/>
      <c r="J129" s="14" t="s">
        <v>721</v>
      </c>
      <c r="K129" s="15" t="s">
        <v>40</v>
      </c>
      <c r="L129" t="s">
        <v>59</v>
      </c>
    </row>
    <row r="130" spans="3:12" x14ac:dyDescent="0.25">
      <c r="C130" t="s">
        <v>524</v>
      </c>
      <c r="D130" t="s">
        <v>161</v>
      </c>
      <c r="E130" t="e">
        <v>#N/A</v>
      </c>
      <c r="F130" t="s">
        <v>524</v>
      </c>
      <c r="H130" s="8" t="s">
        <v>117</v>
      </c>
      <c r="I130" s="9"/>
      <c r="J130" s="10" t="s">
        <v>722</v>
      </c>
      <c r="K130" s="11" t="s">
        <v>48</v>
      </c>
      <c r="L130" t="s">
        <v>40</v>
      </c>
    </row>
    <row r="131" spans="3:12" x14ac:dyDescent="0.25">
      <c r="C131" t="s">
        <v>525</v>
      </c>
      <c r="D131" t="s">
        <v>441</v>
      </c>
      <c r="E131" t="e">
        <v>#N/A</v>
      </c>
      <c r="F131" t="s">
        <v>525</v>
      </c>
      <c r="H131" s="12" t="s">
        <v>142</v>
      </c>
      <c r="I131" s="13"/>
      <c r="J131" s="14" t="s">
        <v>723</v>
      </c>
      <c r="K131" s="15" t="s">
        <v>40</v>
      </c>
      <c r="L131" t="s">
        <v>48</v>
      </c>
    </row>
    <row r="132" spans="3:12" x14ac:dyDescent="0.25">
      <c r="C132" t="s">
        <v>526</v>
      </c>
      <c r="D132" t="s">
        <v>163</v>
      </c>
      <c r="E132" t="e">
        <v>#N/A</v>
      </c>
      <c r="F132" t="s">
        <v>526</v>
      </c>
      <c r="H132" s="8" t="s">
        <v>125</v>
      </c>
      <c r="I132" s="9"/>
      <c r="J132" s="10" t="s">
        <v>724</v>
      </c>
      <c r="K132" s="11" t="s">
        <v>40</v>
      </c>
      <c r="L132" t="s">
        <v>40</v>
      </c>
    </row>
    <row r="133" spans="3:12" x14ac:dyDescent="0.25">
      <c r="C133" t="s">
        <v>527</v>
      </c>
      <c r="D133" t="s">
        <v>164</v>
      </c>
      <c r="E133" t="e">
        <v>#N/A</v>
      </c>
      <c r="F133" t="s">
        <v>527</v>
      </c>
      <c r="H133" s="12" t="s">
        <v>161</v>
      </c>
      <c r="I133" s="13"/>
      <c r="J133" s="14" t="s">
        <v>725</v>
      </c>
      <c r="K133" s="15" t="s">
        <v>44</v>
      </c>
      <c r="L133" t="s">
        <v>40</v>
      </c>
    </row>
    <row r="134" spans="3:12" x14ac:dyDescent="0.25">
      <c r="C134" t="s">
        <v>394</v>
      </c>
      <c r="D134" t="s">
        <v>442</v>
      </c>
      <c r="E134" t="s">
        <v>395</v>
      </c>
      <c r="F134" t="s">
        <v>394</v>
      </c>
      <c r="H134" s="8" t="s">
        <v>28</v>
      </c>
      <c r="I134" s="9"/>
      <c r="J134" s="10" t="s">
        <v>726</v>
      </c>
      <c r="K134" s="11" t="s">
        <v>51</v>
      </c>
      <c r="L134" t="s">
        <v>44</v>
      </c>
    </row>
    <row r="135" spans="3:12" x14ac:dyDescent="0.25">
      <c r="C135" t="s">
        <v>350</v>
      </c>
      <c r="D135" t="s">
        <v>166</v>
      </c>
      <c r="E135" t="s">
        <v>351</v>
      </c>
      <c r="F135" t="s">
        <v>350</v>
      </c>
      <c r="H135" s="12" t="s">
        <v>18</v>
      </c>
      <c r="I135" s="13"/>
      <c r="J135" s="14" t="s">
        <v>727</v>
      </c>
      <c r="K135" s="15" t="s">
        <v>44</v>
      </c>
      <c r="L135" t="s">
        <v>51</v>
      </c>
    </row>
    <row r="136" spans="3:12" x14ac:dyDescent="0.25">
      <c r="C136" t="s">
        <v>528</v>
      </c>
      <c r="D136" t="s">
        <v>83</v>
      </c>
      <c r="E136" t="e">
        <v>#N/A</v>
      </c>
      <c r="F136" t="s">
        <v>528</v>
      </c>
      <c r="H136" s="8" t="s">
        <v>217</v>
      </c>
      <c r="I136" s="9"/>
      <c r="J136" s="10" t="s">
        <v>728</v>
      </c>
      <c r="K136" s="11" t="s">
        <v>49</v>
      </c>
      <c r="L136" t="s">
        <v>44</v>
      </c>
    </row>
    <row r="137" spans="3:12" x14ac:dyDescent="0.25">
      <c r="C137" t="s">
        <v>529</v>
      </c>
      <c r="D137" t="s">
        <v>84</v>
      </c>
      <c r="E137" t="e">
        <v>#N/A</v>
      </c>
      <c r="F137" t="s">
        <v>529</v>
      </c>
      <c r="H137" s="12" t="s">
        <v>139</v>
      </c>
      <c r="I137" s="13"/>
      <c r="J137" s="14" t="s">
        <v>729</v>
      </c>
      <c r="K137" s="15" t="s">
        <v>49</v>
      </c>
      <c r="L137" t="s">
        <v>49</v>
      </c>
    </row>
    <row r="138" spans="3:12" x14ac:dyDescent="0.25">
      <c r="C138" t="s">
        <v>530</v>
      </c>
      <c r="D138" t="s">
        <v>21</v>
      </c>
      <c r="E138" t="e">
        <v>#N/A</v>
      </c>
      <c r="F138" t="s">
        <v>530</v>
      </c>
      <c r="H138" s="8" t="s">
        <v>428</v>
      </c>
      <c r="I138" s="9"/>
      <c r="J138" s="10" t="s">
        <v>730</v>
      </c>
      <c r="K138" s="11" t="s">
        <v>49</v>
      </c>
      <c r="L138" t="s">
        <v>49</v>
      </c>
    </row>
    <row r="139" spans="3:12" x14ac:dyDescent="0.25">
      <c r="C139" t="s">
        <v>406</v>
      </c>
      <c r="D139" t="s">
        <v>85</v>
      </c>
      <c r="E139" t="s">
        <v>85</v>
      </c>
      <c r="F139" t="s">
        <v>406</v>
      </c>
      <c r="H139" s="12" t="s">
        <v>449</v>
      </c>
      <c r="I139" s="13"/>
      <c r="J139" s="14" t="s">
        <v>731</v>
      </c>
      <c r="K139" s="15" t="s">
        <v>49</v>
      </c>
      <c r="L139" t="s">
        <v>49</v>
      </c>
    </row>
    <row r="140" spans="3:12" x14ac:dyDescent="0.25">
      <c r="C140" t="s">
        <v>531</v>
      </c>
      <c r="D140" t="s">
        <v>86</v>
      </c>
      <c r="E140" t="e">
        <v>#N/A</v>
      </c>
      <c r="F140" t="s">
        <v>531</v>
      </c>
      <c r="H140" s="8" t="s">
        <v>435</v>
      </c>
      <c r="I140" s="9"/>
      <c r="J140" s="10" t="s">
        <v>732</v>
      </c>
      <c r="K140" s="11" t="s">
        <v>49</v>
      </c>
      <c r="L140" t="s">
        <v>49</v>
      </c>
    </row>
    <row r="141" spans="3:12" x14ac:dyDescent="0.25">
      <c r="C141" t="s">
        <v>532</v>
      </c>
      <c r="D141" t="s">
        <v>170</v>
      </c>
      <c r="E141" t="e">
        <v>#N/A</v>
      </c>
      <c r="F141" t="s">
        <v>532</v>
      </c>
      <c r="H141" s="12" t="s">
        <v>184</v>
      </c>
      <c r="I141" s="13"/>
      <c r="J141" s="14" t="s">
        <v>733</v>
      </c>
      <c r="K141" s="15" t="s">
        <v>49</v>
      </c>
      <c r="L141" t="s">
        <v>49</v>
      </c>
    </row>
    <row r="142" spans="3:12" x14ac:dyDescent="0.25">
      <c r="C142" t="s">
        <v>533</v>
      </c>
      <c r="D142" t="s">
        <v>172</v>
      </c>
      <c r="E142" t="e">
        <v>#N/A</v>
      </c>
      <c r="F142" t="s">
        <v>533</v>
      </c>
      <c r="H142" s="8" t="s">
        <v>25</v>
      </c>
      <c r="I142" s="9"/>
      <c r="J142" s="10" t="s">
        <v>734</v>
      </c>
      <c r="K142" s="11" t="s">
        <v>49</v>
      </c>
      <c r="L142" t="s">
        <v>49</v>
      </c>
    </row>
    <row r="143" spans="3:12" x14ac:dyDescent="0.25">
      <c r="C143" t="s">
        <v>534</v>
      </c>
      <c r="D143" t="s">
        <v>87</v>
      </c>
      <c r="E143" t="e">
        <v>#N/A</v>
      </c>
      <c r="F143" t="s">
        <v>534</v>
      </c>
      <c r="H143" s="12" t="s">
        <v>138</v>
      </c>
      <c r="I143" s="13"/>
      <c r="J143" s="14" t="s">
        <v>735</v>
      </c>
      <c r="K143" s="15" t="s">
        <v>49</v>
      </c>
      <c r="L143" t="s">
        <v>49</v>
      </c>
    </row>
    <row r="144" spans="3:12" x14ac:dyDescent="0.25">
      <c r="C144" t="s">
        <v>319</v>
      </c>
      <c r="D144" t="s">
        <v>89</v>
      </c>
      <c r="E144" t="s">
        <v>320</v>
      </c>
      <c r="F144" t="s">
        <v>319</v>
      </c>
      <c r="H144" s="8" t="s">
        <v>207</v>
      </c>
      <c r="I144" s="9"/>
      <c r="J144" s="10" t="s">
        <v>736</v>
      </c>
      <c r="K144" s="11" t="s">
        <v>49</v>
      </c>
      <c r="L144" t="s">
        <v>49</v>
      </c>
    </row>
    <row r="145" spans="3:12" x14ac:dyDescent="0.25">
      <c r="C145" t="s">
        <v>535</v>
      </c>
      <c r="D145" t="s">
        <v>174</v>
      </c>
      <c r="E145" t="e">
        <v>#N/A</v>
      </c>
      <c r="F145" t="s">
        <v>535</v>
      </c>
      <c r="H145" s="12" t="s">
        <v>52</v>
      </c>
      <c r="I145" s="13"/>
      <c r="J145" s="14" t="s">
        <v>737</v>
      </c>
      <c r="K145" s="15" t="s">
        <v>40</v>
      </c>
      <c r="L145" t="s">
        <v>49</v>
      </c>
    </row>
    <row r="146" spans="3:12" x14ac:dyDescent="0.25">
      <c r="C146" t="s">
        <v>536</v>
      </c>
      <c r="D146" t="s">
        <v>90</v>
      </c>
      <c r="E146" t="e">
        <v>#N/A</v>
      </c>
      <c r="F146" t="s">
        <v>536</v>
      </c>
      <c r="H146" s="8" t="s">
        <v>446</v>
      </c>
      <c r="I146" s="9"/>
      <c r="J146" s="10" t="s">
        <v>738</v>
      </c>
      <c r="K146" s="11" t="s">
        <v>111</v>
      </c>
      <c r="L146" t="s">
        <v>40</v>
      </c>
    </row>
    <row r="147" spans="3:12" x14ac:dyDescent="0.25">
      <c r="C147" t="s">
        <v>537</v>
      </c>
      <c r="D147" t="s">
        <v>176</v>
      </c>
      <c r="E147" t="e">
        <v>#N/A</v>
      </c>
      <c r="F147" t="s">
        <v>537</v>
      </c>
      <c r="H147" s="12" t="s">
        <v>114</v>
      </c>
      <c r="I147" s="13"/>
      <c r="J147" s="14" t="s">
        <v>739</v>
      </c>
      <c r="K147" s="15" t="s">
        <v>44</v>
      </c>
      <c r="L147" t="s">
        <v>111</v>
      </c>
    </row>
    <row r="148" spans="3:12" x14ac:dyDescent="0.25">
      <c r="C148" t="s">
        <v>407</v>
      </c>
      <c r="D148" t="s">
        <v>91</v>
      </c>
      <c r="E148" t="s">
        <v>408</v>
      </c>
      <c r="F148" t="s">
        <v>407</v>
      </c>
      <c r="H148" s="8" t="s">
        <v>193</v>
      </c>
      <c r="I148" s="9"/>
      <c r="J148" s="10" t="s">
        <v>740</v>
      </c>
      <c r="K148" s="11" t="s">
        <v>67</v>
      </c>
      <c r="L148" t="s">
        <v>44</v>
      </c>
    </row>
    <row r="149" spans="3:12" x14ac:dyDescent="0.25">
      <c r="C149" t="s">
        <v>297</v>
      </c>
      <c r="D149" t="s">
        <v>121</v>
      </c>
      <c r="E149" t="s">
        <v>298</v>
      </c>
      <c r="F149" t="s">
        <v>297</v>
      </c>
      <c r="H149" s="12" t="s">
        <v>232</v>
      </c>
      <c r="I149" s="13"/>
      <c r="J149" s="14" t="s">
        <v>741</v>
      </c>
      <c r="K149" s="15" t="s">
        <v>40</v>
      </c>
      <c r="L149" t="s">
        <v>67</v>
      </c>
    </row>
    <row r="150" spans="3:12" x14ac:dyDescent="0.25">
      <c r="C150" t="s">
        <v>372</v>
      </c>
      <c r="D150" t="s">
        <v>23</v>
      </c>
      <c r="E150" t="s">
        <v>23</v>
      </c>
      <c r="F150" t="s">
        <v>372</v>
      </c>
      <c r="H150" s="8" t="s">
        <v>126</v>
      </c>
      <c r="I150" s="9"/>
      <c r="J150" s="10" t="s">
        <v>742</v>
      </c>
      <c r="K150" s="11" t="s">
        <v>46</v>
      </c>
      <c r="L150" t="s">
        <v>40</v>
      </c>
    </row>
    <row r="151" spans="3:12" x14ac:dyDescent="0.25">
      <c r="C151" t="s">
        <v>538</v>
      </c>
      <c r="D151" t="s">
        <v>178</v>
      </c>
      <c r="E151" t="e">
        <v>#N/A</v>
      </c>
      <c r="F151" t="s">
        <v>538</v>
      </c>
      <c r="H151" s="12" t="s">
        <v>218</v>
      </c>
      <c r="I151" s="13"/>
      <c r="J151" s="14" t="s">
        <v>743</v>
      </c>
      <c r="K151" s="15" t="s">
        <v>44</v>
      </c>
      <c r="L151" t="s">
        <v>46</v>
      </c>
    </row>
    <row r="152" spans="3:12" x14ac:dyDescent="0.25">
      <c r="C152" t="s">
        <v>539</v>
      </c>
      <c r="D152" t="s">
        <v>179</v>
      </c>
      <c r="E152" t="e">
        <v>#N/A</v>
      </c>
      <c r="F152" t="s">
        <v>539</v>
      </c>
      <c r="H152" s="8" t="s">
        <v>29</v>
      </c>
      <c r="I152" s="9"/>
      <c r="J152" s="10" t="s">
        <v>744</v>
      </c>
      <c r="K152" s="11" t="s">
        <v>51</v>
      </c>
      <c r="L152" t="s">
        <v>44</v>
      </c>
    </row>
    <row r="153" spans="3:12" x14ac:dyDescent="0.25">
      <c r="C153" t="s">
        <v>540</v>
      </c>
      <c r="D153" t="s">
        <v>180</v>
      </c>
      <c r="E153" t="e">
        <v>#N/A</v>
      </c>
      <c r="F153" t="s">
        <v>540</v>
      </c>
      <c r="H153" s="12" t="s">
        <v>182</v>
      </c>
      <c r="I153" s="13"/>
      <c r="J153" s="14" t="s">
        <v>745</v>
      </c>
      <c r="K153" s="15" t="s">
        <v>93</v>
      </c>
      <c r="L153" t="s">
        <v>51</v>
      </c>
    </row>
    <row r="154" spans="3:12" x14ac:dyDescent="0.25">
      <c r="C154" t="s">
        <v>310</v>
      </c>
      <c r="D154" t="s">
        <v>16</v>
      </c>
      <c r="E154" t="s">
        <v>311</v>
      </c>
      <c r="F154" t="s">
        <v>310</v>
      </c>
      <c r="H154" s="8" t="s">
        <v>116</v>
      </c>
      <c r="I154" s="9"/>
      <c r="J154" s="10" t="s">
        <v>746</v>
      </c>
      <c r="K154" s="11" t="s">
        <v>48</v>
      </c>
      <c r="L154" t="s">
        <v>93</v>
      </c>
    </row>
    <row r="155" spans="3:12" x14ac:dyDescent="0.25">
      <c r="C155" t="s">
        <v>317</v>
      </c>
      <c r="D155" t="s">
        <v>181</v>
      </c>
      <c r="E155" t="s">
        <v>318</v>
      </c>
      <c r="F155" t="s">
        <v>317</v>
      </c>
      <c r="H155" s="12" t="s">
        <v>63</v>
      </c>
      <c r="I155" s="13"/>
      <c r="J155" s="14" t="s">
        <v>747</v>
      </c>
      <c r="K155" s="15" t="s">
        <v>48</v>
      </c>
      <c r="L155" t="s">
        <v>48</v>
      </c>
    </row>
    <row r="156" spans="3:12" x14ac:dyDescent="0.25">
      <c r="C156" t="s">
        <v>402</v>
      </c>
      <c r="D156" t="s">
        <v>182</v>
      </c>
      <c r="E156" t="s">
        <v>403</v>
      </c>
      <c r="F156" t="s">
        <v>402</v>
      </c>
      <c r="H156" s="8" t="s">
        <v>55</v>
      </c>
      <c r="I156" s="9"/>
      <c r="J156" s="10" t="s">
        <v>748</v>
      </c>
      <c r="K156" s="11" t="s">
        <v>54</v>
      </c>
      <c r="L156" t="s">
        <v>48</v>
      </c>
    </row>
    <row r="157" spans="3:12" x14ac:dyDescent="0.25">
      <c r="C157" t="s">
        <v>365</v>
      </c>
      <c r="D157" t="s">
        <v>14</v>
      </c>
      <c r="E157" t="s">
        <v>14</v>
      </c>
      <c r="F157" t="s">
        <v>365</v>
      </c>
      <c r="H157" s="12" t="s">
        <v>269</v>
      </c>
      <c r="I157" s="13"/>
      <c r="J157" s="14" t="s">
        <v>749</v>
      </c>
      <c r="K157" s="15" t="s">
        <v>67</v>
      </c>
      <c r="L157" t="s">
        <v>54</v>
      </c>
    </row>
    <row r="158" spans="3:12" x14ac:dyDescent="0.25">
      <c r="C158" t="s">
        <v>541</v>
      </c>
      <c r="D158" t="s">
        <v>183</v>
      </c>
      <c r="E158" t="e">
        <v>#N/A</v>
      </c>
      <c r="F158" t="s">
        <v>541</v>
      </c>
      <c r="H158" s="8" t="s">
        <v>172</v>
      </c>
      <c r="I158" s="9"/>
      <c r="J158" s="10" t="s">
        <v>750</v>
      </c>
      <c r="K158" s="11" t="s">
        <v>88</v>
      </c>
      <c r="L158" t="s">
        <v>67</v>
      </c>
    </row>
    <row r="159" spans="3:12" x14ac:dyDescent="0.25">
      <c r="C159" t="s">
        <v>542</v>
      </c>
      <c r="D159" t="s">
        <v>185</v>
      </c>
      <c r="E159" t="e">
        <v>#N/A</v>
      </c>
      <c r="F159" t="s">
        <v>542</v>
      </c>
      <c r="H159" s="12" t="s">
        <v>75</v>
      </c>
      <c r="I159" s="13"/>
      <c r="J159" s="14" t="s">
        <v>751</v>
      </c>
      <c r="K159" s="15" t="s">
        <v>71</v>
      </c>
      <c r="L159" t="s">
        <v>88</v>
      </c>
    </row>
    <row r="160" spans="3:12" x14ac:dyDescent="0.25">
      <c r="C160" t="s">
        <v>373</v>
      </c>
      <c r="D160" t="s">
        <v>26</v>
      </c>
      <c r="E160" t="s">
        <v>26</v>
      </c>
      <c r="F160" t="s">
        <v>373</v>
      </c>
      <c r="H160" s="8" t="s">
        <v>158</v>
      </c>
      <c r="I160" s="9"/>
      <c r="J160" s="10" t="s">
        <v>752</v>
      </c>
      <c r="K160" s="11" t="s">
        <v>46</v>
      </c>
      <c r="L160" t="s">
        <v>71</v>
      </c>
    </row>
    <row r="161" spans="3:12" x14ac:dyDescent="0.25">
      <c r="C161" t="s">
        <v>543</v>
      </c>
      <c r="D161" t="s">
        <v>187</v>
      </c>
      <c r="E161" t="e">
        <v>#N/A</v>
      </c>
      <c r="F161" t="s">
        <v>543</v>
      </c>
      <c r="H161" s="12" t="s">
        <v>424</v>
      </c>
      <c r="I161" s="13"/>
      <c r="J161" s="14" t="s">
        <v>753</v>
      </c>
      <c r="K161" s="15" t="s">
        <v>88</v>
      </c>
      <c r="L161" t="s">
        <v>46</v>
      </c>
    </row>
    <row r="162" spans="3:12" x14ac:dyDescent="0.25">
      <c r="C162" t="s">
        <v>264</v>
      </c>
      <c r="D162" t="s">
        <v>98</v>
      </c>
      <c r="E162" t="s">
        <v>265</v>
      </c>
      <c r="F162" t="s">
        <v>264</v>
      </c>
      <c r="H162" s="8" t="s">
        <v>754</v>
      </c>
      <c r="I162" s="9"/>
      <c r="J162" s="10" t="s">
        <v>755</v>
      </c>
      <c r="K162" s="11" t="s">
        <v>71</v>
      </c>
      <c r="L162" t="s">
        <v>88</v>
      </c>
    </row>
    <row r="163" spans="3:12" x14ac:dyDescent="0.25">
      <c r="C163" t="s">
        <v>544</v>
      </c>
      <c r="D163" t="s">
        <v>443</v>
      </c>
      <c r="E163" t="e">
        <v>#N/A</v>
      </c>
      <c r="F163" t="s">
        <v>544</v>
      </c>
      <c r="H163" s="12" t="s">
        <v>756</v>
      </c>
      <c r="I163" s="13"/>
      <c r="J163" s="14" t="s">
        <v>757</v>
      </c>
      <c r="K163" s="15" t="s">
        <v>44</v>
      </c>
      <c r="L163" t="s">
        <v>71</v>
      </c>
    </row>
    <row r="164" spans="3:12" x14ac:dyDescent="0.25">
      <c r="C164" t="s">
        <v>545</v>
      </c>
      <c r="D164" t="s">
        <v>188</v>
      </c>
      <c r="E164" t="e">
        <v>#N/A</v>
      </c>
      <c r="F164" t="s">
        <v>545</v>
      </c>
      <c r="H164" s="8" t="s">
        <v>758</v>
      </c>
      <c r="I164" s="9"/>
      <c r="J164" s="10" t="s">
        <v>759</v>
      </c>
      <c r="K164" s="11" t="s">
        <v>40</v>
      </c>
      <c r="L164" t="s">
        <v>44</v>
      </c>
    </row>
    <row r="165" spans="3:12" ht="30" x14ac:dyDescent="0.25">
      <c r="C165" t="s">
        <v>546</v>
      </c>
      <c r="D165" t="s">
        <v>190</v>
      </c>
      <c r="E165" t="e">
        <v>#N/A</v>
      </c>
      <c r="F165" t="s">
        <v>546</v>
      </c>
      <c r="H165" s="12" t="s">
        <v>760</v>
      </c>
      <c r="I165" s="13"/>
      <c r="J165" s="14" t="s">
        <v>761</v>
      </c>
      <c r="K165" s="15" t="s">
        <v>51</v>
      </c>
      <c r="L165" t="s">
        <v>40</v>
      </c>
    </row>
    <row r="166" spans="3:12" x14ac:dyDescent="0.25">
      <c r="C166" t="s">
        <v>547</v>
      </c>
      <c r="D166" t="s">
        <v>100</v>
      </c>
      <c r="E166" t="e">
        <v>#N/A</v>
      </c>
      <c r="F166" t="s">
        <v>547</v>
      </c>
      <c r="H166" s="8" t="s">
        <v>762</v>
      </c>
      <c r="I166" s="9"/>
      <c r="J166" s="10" t="s">
        <v>763</v>
      </c>
      <c r="K166" s="11" t="s">
        <v>71</v>
      </c>
      <c r="L166" t="s">
        <v>51</v>
      </c>
    </row>
    <row r="167" spans="3:12" x14ac:dyDescent="0.25">
      <c r="C167" t="s">
        <v>548</v>
      </c>
      <c r="D167" t="s">
        <v>192</v>
      </c>
      <c r="E167" t="e">
        <v>#N/A</v>
      </c>
      <c r="F167" t="s">
        <v>548</v>
      </c>
      <c r="H167" s="12" t="s">
        <v>764</v>
      </c>
      <c r="I167" s="13"/>
      <c r="J167" s="14" t="s">
        <v>765</v>
      </c>
      <c r="K167" s="15" t="s">
        <v>49</v>
      </c>
      <c r="L167" t="s">
        <v>71</v>
      </c>
    </row>
    <row r="168" spans="3:12" x14ac:dyDescent="0.25">
      <c r="C168" t="s">
        <v>268</v>
      </c>
      <c r="D168" t="s">
        <v>269</v>
      </c>
      <c r="E168" t="s">
        <v>269</v>
      </c>
      <c r="F168" t="s">
        <v>268</v>
      </c>
      <c r="H168" s="8" t="s">
        <v>165</v>
      </c>
      <c r="I168" s="9"/>
      <c r="J168" s="10" t="s">
        <v>766</v>
      </c>
      <c r="K168" s="11" t="s">
        <v>88</v>
      </c>
      <c r="L168" t="s">
        <v>49</v>
      </c>
    </row>
    <row r="169" spans="3:12" x14ac:dyDescent="0.25">
      <c r="C169" t="s">
        <v>398</v>
      </c>
      <c r="D169" t="s">
        <v>193</v>
      </c>
      <c r="E169" t="s">
        <v>399</v>
      </c>
      <c r="F169" t="s">
        <v>398</v>
      </c>
      <c r="H169" s="12" t="s">
        <v>163</v>
      </c>
      <c r="I169" s="13"/>
      <c r="J169" s="14" t="s">
        <v>767</v>
      </c>
      <c r="K169" s="15" t="s">
        <v>46</v>
      </c>
      <c r="L169" t="s">
        <v>88</v>
      </c>
    </row>
    <row r="170" spans="3:12" x14ac:dyDescent="0.25">
      <c r="C170" t="s">
        <v>356</v>
      </c>
      <c r="D170" t="s">
        <v>194</v>
      </c>
      <c r="E170" t="s">
        <v>357</v>
      </c>
      <c r="F170" t="s">
        <v>356</v>
      </c>
      <c r="H170" s="8" t="s">
        <v>427</v>
      </c>
      <c r="I170" s="9"/>
      <c r="J170" s="10" t="s">
        <v>768</v>
      </c>
      <c r="K170" s="11" t="s">
        <v>111</v>
      </c>
      <c r="L170" t="s">
        <v>46</v>
      </c>
    </row>
    <row r="171" spans="3:12" x14ac:dyDescent="0.25">
      <c r="C171" t="s">
        <v>549</v>
      </c>
      <c r="D171" t="s">
        <v>3</v>
      </c>
      <c r="E171" t="e">
        <v>#N/A</v>
      </c>
      <c r="F171" t="s">
        <v>549</v>
      </c>
      <c r="H171" s="12" t="s">
        <v>58</v>
      </c>
      <c r="I171" s="13"/>
      <c r="J171" s="14" t="s">
        <v>769</v>
      </c>
      <c r="K171" s="15" t="s">
        <v>59</v>
      </c>
      <c r="L171" t="s">
        <v>111</v>
      </c>
    </row>
    <row r="172" spans="3:12" x14ac:dyDescent="0.25">
      <c r="C172" t="s">
        <v>550</v>
      </c>
      <c r="D172" t="s">
        <v>102</v>
      </c>
      <c r="E172" t="e">
        <v>#N/A</v>
      </c>
      <c r="F172" t="s">
        <v>550</v>
      </c>
      <c r="H172" s="8" t="s">
        <v>78</v>
      </c>
      <c r="I172" s="9"/>
      <c r="J172" s="10" t="s">
        <v>770</v>
      </c>
      <c r="K172" s="11" t="s">
        <v>44</v>
      </c>
      <c r="L172" t="s">
        <v>59</v>
      </c>
    </row>
    <row r="173" spans="3:12" x14ac:dyDescent="0.25">
      <c r="C173" t="s">
        <v>314</v>
      </c>
      <c r="D173" t="s">
        <v>196</v>
      </c>
      <c r="E173" t="s">
        <v>196</v>
      </c>
      <c r="F173" t="s">
        <v>314</v>
      </c>
      <c r="H173" s="12" t="s">
        <v>210</v>
      </c>
      <c r="I173" s="13"/>
      <c r="J173" s="14" t="s">
        <v>771</v>
      </c>
      <c r="K173" s="15" t="s">
        <v>59</v>
      </c>
      <c r="L173" t="s">
        <v>44</v>
      </c>
    </row>
    <row r="174" spans="3:12" x14ac:dyDescent="0.25">
      <c r="C174" t="s">
        <v>333</v>
      </c>
      <c r="D174" t="s">
        <v>103</v>
      </c>
      <c r="E174" t="s">
        <v>334</v>
      </c>
      <c r="F174" t="s">
        <v>333</v>
      </c>
      <c r="H174" s="8" t="s">
        <v>101</v>
      </c>
      <c r="I174" s="9"/>
      <c r="J174" s="10" t="s">
        <v>772</v>
      </c>
      <c r="K174" s="11" t="s">
        <v>67</v>
      </c>
      <c r="L174" t="s">
        <v>59</v>
      </c>
    </row>
    <row r="175" spans="3:12" x14ac:dyDescent="0.25">
      <c r="C175" t="s">
        <v>339</v>
      </c>
      <c r="D175" t="s">
        <v>198</v>
      </c>
      <c r="E175" t="s">
        <v>340</v>
      </c>
      <c r="F175" t="s">
        <v>339</v>
      </c>
      <c r="H175" s="12" t="s">
        <v>192</v>
      </c>
      <c r="I175" s="13"/>
      <c r="J175" s="14" t="s">
        <v>773</v>
      </c>
      <c r="K175" s="15" t="s">
        <v>67</v>
      </c>
      <c r="L175" t="s">
        <v>67</v>
      </c>
    </row>
    <row r="176" spans="3:12" x14ac:dyDescent="0.25">
      <c r="C176" t="s">
        <v>551</v>
      </c>
      <c r="D176" t="s">
        <v>122</v>
      </c>
      <c r="E176" t="e">
        <v>#N/A</v>
      </c>
      <c r="F176" t="s">
        <v>551</v>
      </c>
      <c r="H176" s="8" t="s">
        <v>92</v>
      </c>
      <c r="I176" s="9"/>
      <c r="J176" s="10" t="s">
        <v>774</v>
      </c>
      <c r="K176" s="11" t="s">
        <v>93</v>
      </c>
      <c r="L176" t="s">
        <v>67</v>
      </c>
    </row>
    <row r="177" spans="3:12" x14ac:dyDescent="0.25">
      <c r="C177" t="s">
        <v>552</v>
      </c>
      <c r="D177" t="s">
        <v>199</v>
      </c>
      <c r="E177" t="e">
        <v>#N/A</v>
      </c>
      <c r="F177" t="s">
        <v>552</v>
      </c>
      <c r="H177" s="12" t="s">
        <v>69</v>
      </c>
      <c r="I177" s="13"/>
      <c r="J177" s="14" t="s">
        <v>775</v>
      </c>
      <c r="K177" s="15" t="s">
        <v>40</v>
      </c>
      <c r="L177" t="s">
        <v>93</v>
      </c>
    </row>
    <row r="178" spans="3:12" x14ac:dyDescent="0.25">
      <c r="C178" t="s">
        <v>553</v>
      </c>
      <c r="D178" t="s">
        <v>444</v>
      </c>
      <c r="E178" t="e">
        <v>#N/A</v>
      </c>
      <c r="F178" t="s">
        <v>553</v>
      </c>
      <c r="H178" s="8" t="s">
        <v>223</v>
      </c>
      <c r="I178" s="9"/>
      <c r="J178" s="10" t="s">
        <v>776</v>
      </c>
      <c r="K178" s="11" t="s">
        <v>51</v>
      </c>
      <c r="L178" t="s">
        <v>40</v>
      </c>
    </row>
    <row r="179" spans="3:12" x14ac:dyDescent="0.25">
      <c r="C179" t="s">
        <v>554</v>
      </c>
      <c r="D179" t="s">
        <v>56</v>
      </c>
      <c r="E179" t="e">
        <v>#N/A</v>
      </c>
      <c r="F179" t="s">
        <v>554</v>
      </c>
      <c r="H179" s="12" t="s">
        <v>4</v>
      </c>
      <c r="I179" s="13"/>
      <c r="J179" s="14" t="s">
        <v>777</v>
      </c>
      <c r="K179" s="15" t="s">
        <v>51</v>
      </c>
      <c r="L179" t="s">
        <v>51</v>
      </c>
    </row>
    <row r="180" spans="3:12" x14ac:dyDescent="0.25">
      <c r="C180" t="s">
        <v>555</v>
      </c>
      <c r="D180" t="s">
        <v>422</v>
      </c>
      <c r="E180" t="e">
        <v>#N/A</v>
      </c>
      <c r="F180" t="s">
        <v>555</v>
      </c>
      <c r="H180" s="8" t="s">
        <v>108</v>
      </c>
      <c r="I180" s="9"/>
      <c r="J180" s="10" t="s">
        <v>778</v>
      </c>
      <c r="K180" s="11" t="s">
        <v>54</v>
      </c>
      <c r="L180" t="s">
        <v>51</v>
      </c>
    </row>
    <row r="181" spans="3:12" x14ac:dyDescent="0.25">
      <c r="C181" t="s">
        <v>556</v>
      </c>
      <c r="D181" t="s">
        <v>105</v>
      </c>
      <c r="E181" t="e">
        <v>#N/A</v>
      </c>
      <c r="F181" t="s">
        <v>556</v>
      </c>
      <c r="H181" s="12" t="s">
        <v>159</v>
      </c>
      <c r="I181" s="13"/>
      <c r="J181" s="14" t="s">
        <v>779</v>
      </c>
      <c r="K181" s="15" t="s">
        <v>44</v>
      </c>
      <c r="L181" t="s">
        <v>54</v>
      </c>
    </row>
    <row r="182" spans="3:12" x14ac:dyDescent="0.25">
      <c r="C182" t="s">
        <v>270</v>
      </c>
      <c r="D182" t="s">
        <v>202</v>
      </c>
      <c r="E182" t="s">
        <v>271</v>
      </c>
      <c r="F182" t="s">
        <v>270</v>
      </c>
      <c r="H182" s="8" t="s">
        <v>146</v>
      </c>
      <c r="I182" s="9"/>
      <c r="J182" s="10" t="s">
        <v>780</v>
      </c>
      <c r="K182" s="11" t="s">
        <v>61</v>
      </c>
      <c r="L182" t="s">
        <v>44</v>
      </c>
    </row>
    <row r="183" spans="3:12" x14ac:dyDescent="0.25">
      <c r="C183" t="s">
        <v>557</v>
      </c>
      <c r="D183" t="s">
        <v>12</v>
      </c>
      <c r="E183" t="e">
        <v>#N/A</v>
      </c>
      <c r="F183" t="s">
        <v>557</v>
      </c>
      <c r="H183" s="12" t="s">
        <v>66</v>
      </c>
      <c r="I183" s="13"/>
      <c r="J183" s="14" t="s">
        <v>781</v>
      </c>
      <c r="K183" s="15" t="s">
        <v>67</v>
      </c>
      <c r="L183" t="s">
        <v>61</v>
      </c>
    </row>
    <row r="184" spans="3:12" x14ac:dyDescent="0.25">
      <c r="C184" t="s">
        <v>363</v>
      </c>
      <c r="D184" t="s">
        <v>203</v>
      </c>
      <c r="E184" t="s">
        <v>364</v>
      </c>
      <c r="F184" t="s">
        <v>363</v>
      </c>
      <c r="H184" s="8" t="s">
        <v>72</v>
      </c>
      <c r="I184" s="9"/>
      <c r="J184" s="10" t="s">
        <v>782</v>
      </c>
      <c r="K184" s="11" t="s">
        <v>71</v>
      </c>
      <c r="L184" t="s">
        <v>67</v>
      </c>
    </row>
    <row r="185" spans="3:12" x14ac:dyDescent="0.25">
      <c r="C185" t="s">
        <v>366</v>
      </c>
      <c r="D185" t="s">
        <v>204</v>
      </c>
      <c r="E185" t="s">
        <v>367</v>
      </c>
      <c r="F185" t="s">
        <v>366</v>
      </c>
      <c r="H185" s="12" t="s">
        <v>226</v>
      </c>
      <c r="I185" s="13"/>
      <c r="J185" s="14" t="s">
        <v>783</v>
      </c>
      <c r="K185" s="15" t="s">
        <v>51</v>
      </c>
      <c r="L185" t="s">
        <v>71</v>
      </c>
    </row>
    <row r="186" spans="3:12" x14ac:dyDescent="0.25">
      <c r="C186" t="s">
        <v>558</v>
      </c>
      <c r="D186" t="s">
        <v>205</v>
      </c>
      <c r="E186" t="e">
        <v>#N/A</v>
      </c>
      <c r="F186" t="s">
        <v>558</v>
      </c>
      <c r="H186" s="8" t="s">
        <v>206</v>
      </c>
      <c r="I186" s="9"/>
      <c r="J186" s="10" t="s">
        <v>784</v>
      </c>
      <c r="K186" s="11" t="s">
        <v>48</v>
      </c>
      <c r="L186" t="s">
        <v>51</v>
      </c>
    </row>
    <row r="187" spans="3:12" x14ac:dyDescent="0.25">
      <c r="C187" t="s">
        <v>385</v>
      </c>
      <c r="D187" t="s">
        <v>107</v>
      </c>
      <c r="E187" t="s">
        <v>386</v>
      </c>
      <c r="F187" t="s">
        <v>385</v>
      </c>
      <c r="H187" s="12" t="s">
        <v>11</v>
      </c>
      <c r="I187" s="13"/>
      <c r="J187" s="14" t="s">
        <v>785</v>
      </c>
      <c r="K187" s="15" t="s">
        <v>41</v>
      </c>
      <c r="L187" t="s">
        <v>48</v>
      </c>
    </row>
    <row r="188" spans="3:12" x14ac:dyDescent="0.25">
      <c r="C188" t="s">
        <v>559</v>
      </c>
      <c r="D188" t="s">
        <v>445</v>
      </c>
      <c r="E188" t="e">
        <v>#N/A</v>
      </c>
      <c r="F188" t="s">
        <v>559</v>
      </c>
      <c r="H188" s="8" t="s">
        <v>445</v>
      </c>
      <c r="I188" s="9"/>
      <c r="J188" s="10" t="s">
        <v>786</v>
      </c>
      <c r="K188" s="11" t="s">
        <v>67</v>
      </c>
      <c r="L188" t="s">
        <v>41</v>
      </c>
    </row>
    <row r="189" spans="3:12" x14ac:dyDescent="0.25">
      <c r="C189" t="s">
        <v>560</v>
      </c>
      <c r="D189" t="s">
        <v>206</v>
      </c>
      <c r="E189" t="e">
        <v>#N/A</v>
      </c>
      <c r="F189" t="s">
        <v>560</v>
      </c>
      <c r="H189" s="12" t="s">
        <v>225</v>
      </c>
      <c r="I189" s="13"/>
      <c r="J189" s="14" t="s">
        <v>787</v>
      </c>
      <c r="K189" s="15" t="s">
        <v>48</v>
      </c>
      <c r="L189" t="s">
        <v>67</v>
      </c>
    </row>
    <row r="190" spans="3:12" x14ac:dyDescent="0.25">
      <c r="C190" t="s">
        <v>561</v>
      </c>
      <c r="D190" t="s">
        <v>27</v>
      </c>
      <c r="E190" t="e">
        <v>#N/A</v>
      </c>
      <c r="F190" t="s">
        <v>561</v>
      </c>
      <c r="H190" s="8" t="s">
        <v>23</v>
      </c>
      <c r="I190" s="9"/>
      <c r="J190" s="10" t="s">
        <v>788</v>
      </c>
      <c r="K190" s="11" t="s">
        <v>41</v>
      </c>
      <c r="L190" t="s">
        <v>48</v>
      </c>
    </row>
    <row r="191" spans="3:12" x14ac:dyDescent="0.25">
      <c r="C191" t="s">
        <v>278</v>
      </c>
      <c r="D191" t="s">
        <v>207</v>
      </c>
      <c r="E191" t="s">
        <v>279</v>
      </c>
      <c r="F191" t="s">
        <v>278</v>
      </c>
      <c r="H191" s="12" t="s">
        <v>789</v>
      </c>
      <c r="I191" s="13"/>
      <c r="J191" s="14" t="s">
        <v>790</v>
      </c>
      <c r="K191" s="15" t="s">
        <v>44</v>
      </c>
      <c r="L191" t="s">
        <v>41</v>
      </c>
    </row>
    <row r="192" spans="3:12" x14ac:dyDescent="0.25">
      <c r="C192" t="s">
        <v>387</v>
      </c>
      <c r="D192" t="s">
        <v>208</v>
      </c>
      <c r="E192" t="s">
        <v>388</v>
      </c>
      <c r="F192" t="s">
        <v>387</v>
      </c>
      <c r="H192" s="8" t="s">
        <v>230</v>
      </c>
      <c r="I192" s="9"/>
      <c r="J192" s="10" t="s">
        <v>791</v>
      </c>
      <c r="K192" s="11" t="s">
        <v>44</v>
      </c>
      <c r="L192" t="s">
        <v>44</v>
      </c>
    </row>
    <row r="193" spans="3:12" x14ac:dyDescent="0.25">
      <c r="C193" t="s">
        <v>358</v>
      </c>
      <c r="D193" t="s">
        <v>123</v>
      </c>
      <c r="E193" t="s">
        <v>359</v>
      </c>
      <c r="F193" t="s">
        <v>358</v>
      </c>
      <c r="H193" s="12" t="s">
        <v>233</v>
      </c>
      <c r="I193" s="13"/>
      <c r="J193" s="14" t="s">
        <v>792</v>
      </c>
      <c r="K193" s="15" t="s">
        <v>59</v>
      </c>
      <c r="L193" t="s">
        <v>44</v>
      </c>
    </row>
    <row r="194" spans="3:12" x14ac:dyDescent="0.25">
      <c r="C194" t="s">
        <v>562</v>
      </c>
      <c r="D194" t="s">
        <v>446</v>
      </c>
      <c r="E194" t="e">
        <v>#N/A</v>
      </c>
      <c r="F194" t="s">
        <v>562</v>
      </c>
      <c r="H194" s="8" t="s">
        <v>60</v>
      </c>
      <c r="I194" s="9"/>
      <c r="J194" s="10" t="s">
        <v>793</v>
      </c>
      <c r="K194" s="11" t="s">
        <v>61</v>
      </c>
      <c r="L194" t="s">
        <v>59</v>
      </c>
    </row>
    <row r="195" spans="3:12" x14ac:dyDescent="0.25">
      <c r="C195" t="s">
        <v>341</v>
      </c>
      <c r="D195" t="s">
        <v>447</v>
      </c>
      <c r="E195" t="s">
        <v>342</v>
      </c>
      <c r="F195" t="s">
        <v>341</v>
      </c>
      <c r="H195" s="12" t="s">
        <v>432</v>
      </c>
      <c r="I195" s="13"/>
      <c r="J195" s="14" t="s">
        <v>794</v>
      </c>
      <c r="K195" s="15" t="s">
        <v>71</v>
      </c>
      <c r="L195" t="s">
        <v>61</v>
      </c>
    </row>
    <row r="196" spans="3:12" x14ac:dyDescent="0.25">
      <c r="C196" t="s">
        <v>252</v>
      </c>
      <c r="D196" t="s">
        <v>112</v>
      </c>
      <c r="E196" t="s">
        <v>253</v>
      </c>
      <c r="F196" t="s">
        <v>252</v>
      </c>
      <c r="H196" s="8" t="s">
        <v>76</v>
      </c>
      <c r="I196" s="9"/>
      <c r="J196" s="10" t="s">
        <v>795</v>
      </c>
      <c r="K196" s="11" t="s">
        <v>77</v>
      </c>
      <c r="L196" t="s">
        <v>71</v>
      </c>
    </row>
    <row r="197" spans="3:12" x14ac:dyDescent="0.25">
      <c r="C197" t="s">
        <v>241</v>
      </c>
      <c r="D197" t="s">
        <v>6</v>
      </c>
      <c r="E197" t="s">
        <v>6</v>
      </c>
      <c r="F197" t="s">
        <v>241</v>
      </c>
      <c r="H197" s="12" t="s">
        <v>433</v>
      </c>
      <c r="I197" s="13"/>
      <c r="J197" s="14" t="s">
        <v>796</v>
      </c>
      <c r="K197" s="15" t="s">
        <v>44</v>
      </c>
      <c r="L197" t="s">
        <v>77</v>
      </c>
    </row>
    <row r="198" spans="3:12" x14ac:dyDescent="0.25">
      <c r="C198" t="s">
        <v>563</v>
      </c>
      <c r="D198" t="s">
        <v>211</v>
      </c>
      <c r="E198" t="e">
        <v>#N/A</v>
      </c>
      <c r="F198" t="s">
        <v>563</v>
      </c>
      <c r="H198" s="8" t="s">
        <v>137</v>
      </c>
      <c r="I198" s="9"/>
      <c r="J198" s="10" t="s">
        <v>797</v>
      </c>
      <c r="K198" s="11" t="s">
        <v>71</v>
      </c>
      <c r="L198" t="s">
        <v>44</v>
      </c>
    </row>
    <row r="199" spans="3:12" x14ac:dyDescent="0.25">
      <c r="C199" t="s">
        <v>260</v>
      </c>
      <c r="D199" t="s">
        <v>212</v>
      </c>
      <c r="E199" t="s">
        <v>261</v>
      </c>
      <c r="F199" t="s">
        <v>260</v>
      </c>
      <c r="H199" s="12" t="s">
        <v>177</v>
      </c>
      <c r="I199" s="13"/>
      <c r="J199" s="14" t="s">
        <v>798</v>
      </c>
      <c r="K199" s="15" t="s">
        <v>61</v>
      </c>
      <c r="L199" t="s">
        <v>71</v>
      </c>
    </row>
    <row r="200" spans="3:12" x14ac:dyDescent="0.25">
      <c r="C200" t="s">
        <v>245</v>
      </c>
      <c r="D200" t="s">
        <v>213</v>
      </c>
      <c r="E200" t="s">
        <v>246</v>
      </c>
      <c r="F200" t="s">
        <v>245</v>
      </c>
      <c r="H200" s="8" t="s">
        <v>195</v>
      </c>
      <c r="I200" s="9"/>
      <c r="J200" s="10" t="s">
        <v>799</v>
      </c>
      <c r="K200" s="11" t="s">
        <v>71</v>
      </c>
      <c r="L200" t="s">
        <v>61</v>
      </c>
    </row>
    <row r="201" spans="3:12" x14ac:dyDescent="0.25">
      <c r="C201" t="s">
        <v>564</v>
      </c>
      <c r="D201" t="s">
        <v>214</v>
      </c>
      <c r="E201" t="e">
        <v>#N/A</v>
      </c>
      <c r="F201" t="s">
        <v>564</v>
      </c>
      <c r="H201" s="12" t="s">
        <v>119</v>
      </c>
      <c r="I201" s="13"/>
      <c r="J201" s="14" t="s">
        <v>800</v>
      </c>
      <c r="K201" s="15" t="s">
        <v>44</v>
      </c>
      <c r="L201" t="s">
        <v>71</v>
      </c>
    </row>
    <row r="202" spans="3:12" x14ac:dyDescent="0.25">
      <c r="C202" t="s">
        <v>565</v>
      </c>
      <c r="D202" t="s">
        <v>215</v>
      </c>
      <c r="E202" t="e">
        <v>#N/A</v>
      </c>
      <c r="F202" t="s">
        <v>565</v>
      </c>
      <c r="H202" s="8" t="s">
        <v>437</v>
      </c>
      <c r="I202" s="9"/>
      <c r="J202" s="10" t="s">
        <v>801</v>
      </c>
      <c r="K202" s="11" t="s">
        <v>88</v>
      </c>
      <c r="L202" t="s">
        <v>44</v>
      </c>
    </row>
    <row r="203" spans="3:12" x14ac:dyDescent="0.25">
      <c r="C203" t="s">
        <v>262</v>
      </c>
      <c r="D203" t="s">
        <v>216</v>
      </c>
      <c r="E203" t="s">
        <v>263</v>
      </c>
      <c r="F203" t="s">
        <v>262</v>
      </c>
      <c r="H203" s="12" t="s">
        <v>47</v>
      </c>
      <c r="I203" s="13"/>
      <c r="J203" s="14" t="s">
        <v>802</v>
      </c>
      <c r="K203" s="15" t="s">
        <v>48</v>
      </c>
      <c r="L203" t="s">
        <v>88</v>
      </c>
    </row>
    <row r="204" spans="3:12" x14ac:dyDescent="0.25">
      <c r="C204" t="s">
        <v>343</v>
      </c>
      <c r="D204" t="s">
        <v>344</v>
      </c>
      <c r="E204" t="s">
        <v>344</v>
      </c>
      <c r="F204" t="s">
        <v>343</v>
      </c>
      <c r="H204" s="8" t="s">
        <v>94</v>
      </c>
      <c r="I204" s="9"/>
      <c r="J204" s="10" t="s">
        <v>803</v>
      </c>
      <c r="K204" s="11" t="s">
        <v>93</v>
      </c>
      <c r="L204" t="s">
        <v>48</v>
      </c>
    </row>
    <row r="205" spans="3:12" x14ac:dyDescent="0.25">
      <c r="C205" t="s">
        <v>566</v>
      </c>
      <c r="D205" t="s">
        <v>218</v>
      </c>
      <c r="E205" t="e">
        <v>#N/A</v>
      </c>
      <c r="F205" t="s">
        <v>566</v>
      </c>
      <c r="H205" s="12" t="s">
        <v>120</v>
      </c>
      <c r="I205" s="13"/>
      <c r="J205" s="14" t="s">
        <v>804</v>
      </c>
      <c r="K205" s="15" t="s">
        <v>51</v>
      </c>
      <c r="L205" t="s">
        <v>93</v>
      </c>
    </row>
    <row r="206" spans="3:12" x14ac:dyDescent="0.25">
      <c r="C206" t="s">
        <v>567</v>
      </c>
      <c r="D206" t="s">
        <v>115</v>
      </c>
      <c r="E206" t="e">
        <v>#N/A</v>
      </c>
      <c r="F206" t="s">
        <v>567</v>
      </c>
      <c r="H206" s="8" t="s">
        <v>74</v>
      </c>
      <c r="I206" s="9"/>
      <c r="J206" s="10" t="s">
        <v>805</v>
      </c>
      <c r="K206" s="11" t="s">
        <v>40</v>
      </c>
      <c r="L206" t="s">
        <v>51</v>
      </c>
    </row>
    <row r="207" spans="3:12" x14ac:dyDescent="0.25">
      <c r="C207" t="s">
        <v>568</v>
      </c>
      <c r="D207" t="s">
        <v>448</v>
      </c>
      <c r="E207" t="e">
        <v>#N/A</v>
      </c>
      <c r="F207" t="s">
        <v>568</v>
      </c>
      <c r="H207" s="12" t="s">
        <v>98</v>
      </c>
      <c r="I207" s="13"/>
      <c r="J207" s="14" t="s">
        <v>806</v>
      </c>
      <c r="K207" s="15" t="s">
        <v>44</v>
      </c>
      <c r="L207" t="s">
        <v>40</v>
      </c>
    </row>
    <row r="208" spans="3:12" ht="30" x14ac:dyDescent="0.25">
      <c r="C208" t="s">
        <v>312</v>
      </c>
      <c r="D208" t="s">
        <v>220</v>
      </c>
      <c r="E208" t="s">
        <v>313</v>
      </c>
      <c r="F208" t="s">
        <v>312</v>
      </c>
      <c r="H208" s="8" t="s">
        <v>147</v>
      </c>
      <c r="I208" s="9"/>
      <c r="J208" s="10" t="s">
        <v>807</v>
      </c>
      <c r="K208" s="11" t="s">
        <v>54</v>
      </c>
      <c r="L208" t="s">
        <v>44</v>
      </c>
    </row>
    <row r="209" spans="3:12" x14ac:dyDescent="0.25">
      <c r="C209" t="s">
        <v>569</v>
      </c>
      <c r="D209" t="s">
        <v>8</v>
      </c>
      <c r="E209" t="e">
        <v>#N/A</v>
      </c>
      <c r="F209" t="s">
        <v>569</v>
      </c>
      <c r="H209" s="12" t="s">
        <v>160</v>
      </c>
      <c r="I209" s="13"/>
      <c r="J209" s="14" t="s">
        <v>808</v>
      </c>
      <c r="K209" s="15" t="s">
        <v>40</v>
      </c>
      <c r="L209" t="s">
        <v>54</v>
      </c>
    </row>
    <row r="210" spans="3:12" x14ac:dyDescent="0.25">
      <c r="C210" t="s">
        <v>368</v>
      </c>
      <c r="D210" t="s">
        <v>221</v>
      </c>
      <c r="E210" t="s">
        <v>369</v>
      </c>
      <c r="F210" t="s">
        <v>368</v>
      </c>
      <c r="H210" s="8" t="s">
        <v>103</v>
      </c>
      <c r="I210" s="9"/>
      <c r="J210" s="10" t="s">
        <v>809</v>
      </c>
      <c r="K210" s="11" t="s">
        <v>40</v>
      </c>
      <c r="L210" t="s">
        <v>40</v>
      </c>
    </row>
    <row r="211" spans="3:12" x14ac:dyDescent="0.25">
      <c r="C211" t="s">
        <v>570</v>
      </c>
      <c r="D211" t="s">
        <v>223</v>
      </c>
      <c r="E211" t="e">
        <v>#N/A</v>
      </c>
      <c r="F211" t="s">
        <v>570</v>
      </c>
      <c r="H211" s="12" t="s">
        <v>448</v>
      </c>
      <c r="I211" s="13"/>
      <c r="J211" s="14" t="s">
        <v>810</v>
      </c>
      <c r="K211" s="15" t="s">
        <v>67</v>
      </c>
      <c r="L211" t="s">
        <v>40</v>
      </c>
    </row>
    <row r="212" spans="3:12" x14ac:dyDescent="0.25">
      <c r="C212" t="s">
        <v>571</v>
      </c>
      <c r="D212" t="s">
        <v>224</v>
      </c>
      <c r="E212" t="e">
        <v>#N/A</v>
      </c>
      <c r="F212" t="s">
        <v>571</v>
      </c>
      <c r="H212" s="8" t="s">
        <v>65</v>
      </c>
      <c r="I212" s="9"/>
      <c r="J212" s="10" t="s">
        <v>811</v>
      </c>
      <c r="K212" s="11" t="s">
        <v>40</v>
      </c>
      <c r="L212" t="s">
        <v>67</v>
      </c>
    </row>
    <row r="213" spans="3:12" x14ac:dyDescent="0.25">
      <c r="C213" t="s">
        <v>352</v>
      </c>
      <c r="D213" t="s">
        <v>225</v>
      </c>
      <c r="E213" t="s">
        <v>353</v>
      </c>
      <c r="F213" t="s">
        <v>352</v>
      </c>
      <c r="H213" s="12" t="s">
        <v>3</v>
      </c>
      <c r="I213" s="13"/>
      <c r="J213" s="14" t="s">
        <v>812</v>
      </c>
      <c r="K213" s="15" t="s">
        <v>51</v>
      </c>
      <c r="L213" t="s">
        <v>40</v>
      </c>
    </row>
    <row r="214" spans="3:12" x14ac:dyDescent="0.25">
      <c r="C214" t="s">
        <v>301</v>
      </c>
      <c r="D214" t="s">
        <v>226</v>
      </c>
      <c r="E214" t="s">
        <v>302</v>
      </c>
      <c r="F214" t="s">
        <v>301</v>
      </c>
      <c r="H214" s="8" t="s">
        <v>196</v>
      </c>
      <c r="I214" s="9"/>
      <c r="J214" s="10" t="s">
        <v>813</v>
      </c>
      <c r="K214" s="11" t="s">
        <v>40</v>
      </c>
      <c r="L214" t="s">
        <v>51</v>
      </c>
    </row>
    <row r="215" spans="3:12" x14ac:dyDescent="0.25">
      <c r="C215" t="s">
        <v>379</v>
      </c>
      <c r="D215" t="s">
        <v>119</v>
      </c>
      <c r="E215" t="s">
        <v>380</v>
      </c>
      <c r="F215" t="s">
        <v>379</v>
      </c>
      <c r="H215" s="12" t="s">
        <v>141</v>
      </c>
      <c r="I215" s="13"/>
      <c r="J215" s="14" t="s">
        <v>814</v>
      </c>
      <c r="K215" s="15" t="s">
        <v>61</v>
      </c>
      <c r="L215" t="s">
        <v>40</v>
      </c>
    </row>
    <row r="216" spans="3:12" x14ac:dyDescent="0.25">
      <c r="C216" t="s">
        <v>572</v>
      </c>
      <c r="D216" t="s">
        <v>449</v>
      </c>
      <c r="E216" t="e">
        <v>#N/A</v>
      </c>
      <c r="F216" t="s">
        <v>572</v>
      </c>
      <c r="H216" s="8" t="s">
        <v>181</v>
      </c>
      <c r="I216" s="9"/>
      <c r="J216" s="10" t="s">
        <v>815</v>
      </c>
      <c r="K216" s="11" t="s">
        <v>93</v>
      </c>
      <c r="L216" t="s">
        <v>61</v>
      </c>
    </row>
    <row r="217" spans="3:12" x14ac:dyDescent="0.25">
      <c r="C217" t="s">
        <v>573</v>
      </c>
      <c r="D217" t="s">
        <v>228</v>
      </c>
      <c r="E217" t="e">
        <v>#N/A</v>
      </c>
      <c r="F217" t="s">
        <v>573</v>
      </c>
      <c r="H217" s="12" t="s">
        <v>213</v>
      </c>
      <c r="I217" s="13"/>
      <c r="J217" s="14" t="s">
        <v>816</v>
      </c>
      <c r="K217" s="15" t="s">
        <v>61</v>
      </c>
      <c r="L217" t="s">
        <v>93</v>
      </c>
    </row>
    <row r="218" spans="3:12" x14ac:dyDescent="0.25">
      <c r="C218" t="s">
        <v>574</v>
      </c>
      <c r="D218" t="s">
        <v>120</v>
      </c>
      <c r="E218" t="e">
        <v>#N/A</v>
      </c>
      <c r="F218" t="s">
        <v>574</v>
      </c>
      <c r="H218" s="8" t="s">
        <v>152</v>
      </c>
      <c r="I218" s="9"/>
      <c r="J218" s="10" t="s">
        <v>817</v>
      </c>
      <c r="K218" s="11" t="s">
        <v>61</v>
      </c>
      <c r="L218" t="s">
        <v>61</v>
      </c>
    </row>
    <row r="219" spans="3:12" x14ac:dyDescent="0.25">
      <c r="C219" t="s">
        <v>362</v>
      </c>
      <c r="D219" t="s">
        <v>229</v>
      </c>
      <c r="E219" t="s">
        <v>229</v>
      </c>
      <c r="F219" t="s">
        <v>362</v>
      </c>
      <c r="H219" s="12" t="s">
        <v>95</v>
      </c>
      <c r="I219" s="13"/>
      <c r="J219" s="14" t="s">
        <v>818</v>
      </c>
      <c r="K219" s="15" t="s">
        <v>93</v>
      </c>
      <c r="L219" t="s">
        <v>61</v>
      </c>
    </row>
    <row r="220" spans="3:12" x14ac:dyDescent="0.25">
      <c r="C220" t="s">
        <v>327</v>
      </c>
      <c r="D220" t="s">
        <v>9</v>
      </c>
      <c r="E220" t="s">
        <v>328</v>
      </c>
      <c r="F220" t="s">
        <v>327</v>
      </c>
      <c r="H220" s="8" t="s">
        <v>27</v>
      </c>
      <c r="I220" s="9"/>
      <c r="J220" s="10" t="s">
        <v>819</v>
      </c>
      <c r="K220" s="11" t="s">
        <v>54</v>
      </c>
      <c r="L220" t="s">
        <v>93</v>
      </c>
    </row>
    <row r="221" spans="3:12" x14ac:dyDescent="0.25">
      <c r="C221" t="s">
        <v>360</v>
      </c>
      <c r="D221" t="s">
        <v>231</v>
      </c>
      <c r="E221" t="s">
        <v>361</v>
      </c>
      <c r="F221" t="s">
        <v>360</v>
      </c>
      <c r="H221" s="12" t="s">
        <v>10</v>
      </c>
      <c r="I221" s="13"/>
      <c r="J221" s="14" t="s">
        <v>820</v>
      </c>
      <c r="K221" s="15" t="s">
        <v>61</v>
      </c>
      <c r="L221" t="s">
        <v>54</v>
      </c>
    </row>
    <row r="222" spans="3:12" x14ac:dyDescent="0.25">
      <c r="C222" t="s">
        <v>254</v>
      </c>
      <c r="D222" t="s">
        <v>233</v>
      </c>
      <c r="E222" t="s">
        <v>255</v>
      </c>
      <c r="F222" t="s">
        <v>254</v>
      </c>
      <c r="H222" s="8" t="s">
        <v>176</v>
      </c>
      <c r="I222" s="9"/>
      <c r="J222" s="10" t="s">
        <v>821</v>
      </c>
      <c r="K222" s="11" t="s">
        <v>48</v>
      </c>
      <c r="L222" t="s">
        <v>61</v>
      </c>
    </row>
    <row r="223" spans="3:12" x14ac:dyDescent="0.25">
      <c r="C223" t="s">
        <v>575</v>
      </c>
      <c r="D223" t="s">
        <v>4</v>
      </c>
      <c r="E223" t="e">
        <v>#N/A</v>
      </c>
      <c r="F223" t="s">
        <v>575</v>
      </c>
      <c r="H223" s="12" t="s">
        <v>15</v>
      </c>
      <c r="I223" s="13"/>
      <c r="J223" s="14" t="s">
        <v>822</v>
      </c>
      <c r="K223" s="15" t="s">
        <v>67</v>
      </c>
      <c r="L223" t="s">
        <v>48</v>
      </c>
    </row>
    <row r="224" spans="3:12" x14ac:dyDescent="0.25">
      <c r="C224" t="s">
        <v>576</v>
      </c>
      <c r="D224" t="s">
        <v>234</v>
      </c>
      <c r="E224" t="e">
        <v>#N/A</v>
      </c>
      <c r="F224" t="s">
        <v>576</v>
      </c>
      <c r="H224" s="8" t="s">
        <v>216</v>
      </c>
      <c r="I224" s="9"/>
      <c r="J224" s="10" t="s">
        <v>823</v>
      </c>
      <c r="K224" s="11" t="s">
        <v>49</v>
      </c>
      <c r="L224" t="s">
        <v>67</v>
      </c>
    </row>
    <row r="225" spans="3:12" x14ac:dyDescent="0.25">
      <c r="C225" t="s">
        <v>577</v>
      </c>
      <c r="D225" t="s">
        <v>235</v>
      </c>
      <c r="E225" t="e">
        <v>#N/A</v>
      </c>
      <c r="F225" t="s">
        <v>577</v>
      </c>
      <c r="H225" s="12" t="s">
        <v>17</v>
      </c>
      <c r="I225" s="13"/>
      <c r="J225" s="14" t="s">
        <v>824</v>
      </c>
      <c r="K225" s="15" t="s">
        <v>48</v>
      </c>
      <c r="L225" t="s">
        <v>49</v>
      </c>
    </row>
    <row r="226" spans="3:12" x14ac:dyDescent="0.25">
      <c r="C226" t="s">
        <v>331</v>
      </c>
      <c r="D226" t="s">
        <v>236</v>
      </c>
      <c r="E226" t="s">
        <v>332</v>
      </c>
      <c r="F226" t="s">
        <v>331</v>
      </c>
      <c r="H226" s="8" t="s">
        <v>21</v>
      </c>
      <c r="I226" s="9"/>
      <c r="J226" s="10" t="s">
        <v>825</v>
      </c>
      <c r="K226" s="11" t="s">
        <v>48</v>
      </c>
      <c r="L226" t="s">
        <v>48</v>
      </c>
    </row>
    <row r="227" spans="3:12" x14ac:dyDescent="0.25">
      <c r="C227" t="s">
        <v>250</v>
      </c>
      <c r="D227" t="s">
        <v>64</v>
      </c>
      <c r="E227" t="s">
        <v>251</v>
      </c>
      <c r="F227" t="s">
        <v>250</v>
      </c>
      <c r="H227" s="12" t="s">
        <v>86</v>
      </c>
      <c r="I227" s="13"/>
      <c r="J227" s="14" t="s">
        <v>826</v>
      </c>
      <c r="K227" s="15" t="s">
        <v>48</v>
      </c>
      <c r="L227" t="s">
        <v>48</v>
      </c>
    </row>
    <row r="228" spans="3:12" x14ac:dyDescent="0.25">
      <c r="C228" t="s">
        <v>578</v>
      </c>
      <c r="D228" t="s">
        <v>124</v>
      </c>
      <c r="E228" t="e">
        <v>#N/A</v>
      </c>
      <c r="F228" t="s">
        <v>578</v>
      </c>
      <c r="H228" s="8" t="s">
        <v>85</v>
      </c>
      <c r="I228" s="9"/>
      <c r="J228" s="10" t="s">
        <v>827</v>
      </c>
      <c r="K228" s="11" t="s">
        <v>48</v>
      </c>
      <c r="L228" t="s">
        <v>48</v>
      </c>
    </row>
    <row r="229" spans="3:12" x14ac:dyDescent="0.25">
      <c r="C229" t="s">
        <v>393</v>
      </c>
      <c r="D229" t="s">
        <v>126</v>
      </c>
      <c r="E229" t="s">
        <v>126</v>
      </c>
      <c r="F229" t="s">
        <v>393</v>
      </c>
      <c r="H229" s="12" t="s">
        <v>84</v>
      </c>
      <c r="I229" s="13"/>
      <c r="J229" s="14" t="s">
        <v>828</v>
      </c>
      <c r="K229" s="15" t="s">
        <v>48</v>
      </c>
      <c r="L229" t="s">
        <v>48</v>
      </c>
    </row>
    <row r="230" spans="3:12" x14ac:dyDescent="0.25">
      <c r="C230" t="s">
        <v>583</v>
      </c>
      <c r="D230" t="s">
        <v>50</v>
      </c>
      <c r="F230" t="s">
        <v>583</v>
      </c>
      <c r="H230" s="8" t="s">
        <v>169</v>
      </c>
      <c r="I230" s="9"/>
      <c r="J230" s="10" t="s">
        <v>829</v>
      </c>
      <c r="K230" s="11" t="s">
        <v>48</v>
      </c>
      <c r="L230" t="s">
        <v>48</v>
      </c>
    </row>
    <row r="231" spans="3:12" x14ac:dyDescent="0.25">
      <c r="C231" t="s">
        <v>582</v>
      </c>
      <c r="D231" t="s">
        <v>28</v>
      </c>
      <c r="F231" t="s">
        <v>582</v>
      </c>
      <c r="H231" s="12" t="s">
        <v>83</v>
      </c>
      <c r="I231" s="13"/>
      <c r="J231" s="14" t="s">
        <v>830</v>
      </c>
      <c r="K231" s="15" t="s">
        <v>48</v>
      </c>
      <c r="L231" t="s">
        <v>48</v>
      </c>
    </row>
    <row r="232" spans="3:12" x14ac:dyDescent="0.25">
      <c r="C232" t="s">
        <v>579</v>
      </c>
      <c r="D232" t="s">
        <v>55</v>
      </c>
      <c r="F232" t="s">
        <v>579</v>
      </c>
      <c r="H232" s="8" t="s">
        <v>153</v>
      </c>
      <c r="I232" s="9"/>
      <c r="J232" s="10" t="s">
        <v>831</v>
      </c>
      <c r="K232" s="11" t="s">
        <v>51</v>
      </c>
      <c r="L232" t="s">
        <v>48</v>
      </c>
    </row>
    <row r="233" spans="3:12" x14ac:dyDescent="0.25">
      <c r="C233" s="6" t="s">
        <v>580</v>
      </c>
      <c r="D233" t="s">
        <v>60</v>
      </c>
      <c r="F233" s="6" t="s">
        <v>580</v>
      </c>
      <c r="H233" s="12" t="s">
        <v>145</v>
      </c>
      <c r="I233" s="13"/>
      <c r="J233" s="14" t="s">
        <v>832</v>
      </c>
      <c r="K233" s="15" t="s">
        <v>51</v>
      </c>
      <c r="L233" t="s">
        <v>51</v>
      </c>
    </row>
    <row r="234" spans="3:12" x14ac:dyDescent="0.25">
      <c r="C234" t="s">
        <v>581</v>
      </c>
      <c r="D234" t="s">
        <v>74</v>
      </c>
      <c r="F234" t="s">
        <v>581</v>
      </c>
      <c r="H234" s="8" t="s">
        <v>175</v>
      </c>
      <c r="I234" s="9"/>
      <c r="J234" s="10" t="s">
        <v>833</v>
      </c>
      <c r="K234" s="11" t="s">
        <v>40</v>
      </c>
      <c r="L234" t="s">
        <v>51</v>
      </c>
    </row>
    <row r="235" spans="3:12" x14ac:dyDescent="0.25">
      <c r="C235" t="s">
        <v>584</v>
      </c>
      <c r="D235" t="s">
        <v>75</v>
      </c>
      <c r="F235" t="s">
        <v>584</v>
      </c>
      <c r="H235" s="12" t="s">
        <v>124</v>
      </c>
      <c r="I235" s="13"/>
      <c r="J235" s="14" t="s">
        <v>834</v>
      </c>
      <c r="K235" s="15" t="s">
        <v>48</v>
      </c>
      <c r="L235" t="s">
        <v>40</v>
      </c>
    </row>
    <row r="236" spans="3:12" x14ac:dyDescent="0.25">
      <c r="C236" t="s">
        <v>397</v>
      </c>
      <c r="D236" t="s">
        <v>125</v>
      </c>
      <c r="F236" t="s">
        <v>397</v>
      </c>
      <c r="H236" s="8" t="s">
        <v>129</v>
      </c>
      <c r="I236" s="9"/>
      <c r="J236" s="10" t="s">
        <v>835</v>
      </c>
      <c r="K236" s="11" t="s">
        <v>71</v>
      </c>
      <c r="L236" t="s">
        <v>48</v>
      </c>
    </row>
    <row r="237" spans="3:12" x14ac:dyDescent="0.25">
      <c r="C237" t="s">
        <v>510</v>
      </c>
      <c r="D237" t="s">
        <v>137</v>
      </c>
      <c r="F237" t="s">
        <v>510</v>
      </c>
      <c r="H237" s="12" t="s">
        <v>235</v>
      </c>
      <c r="I237" s="13"/>
      <c r="J237" s="14" t="s">
        <v>836</v>
      </c>
      <c r="K237" s="15" t="s">
        <v>44</v>
      </c>
      <c r="L237" t="s">
        <v>71</v>
      </c>
    </row>
    <row r="238" spans="3:12" ht="30" x14ac:dyDescent="0.25">
      <c r="C238" t="s">
        <v>592</v>
      </c>
      <c r="D238" t="s">
        <v>230</v>
      </c>
      <c r="F238" t="s">
        <v>592</v>
      </c>
      <c r="H238" s="8" t="s">
        <v>234</v>
      </c>
      <c r="I238" s="9"/>
      <c r="J238" s="10" t="s">
        <v>837</v>
      </c>
      <c r="K238" s="11" t="s">
        <v>44</v>
      </c>
      <c r="L238" t="s">
        <v>44</v>
      </c>
    </row>
    <row r="239" spans="3:12" x14ac:dyDescent="0.25">
      <c r="C239" t="s">
        <v>840</v>
      </c>
      <c r="D239" t="s">
        <v>841</v>
      </c>
      <c r="F239" t="s">
        <v>840</v>
      </c>
      <c r="H239" s="12" t="s">
        <v>62</v>
      </c>
      <c r="I239" s="13"/>
      <c r="J239" s="14" t="s">
        <v>838</v>
      </c>
      <c r="K239" s="15" t="s">
        <v>44</v>
      </c>
      <c r="L239" t="s">
        <v>44</v>
      </c>
    </row>
    <row r="240" spans="3:12" x14ac:dyDescent="0.25">
      <c r="C240" t="s">
        <v>842</v>
      </c>
      <c r="D240" t="s">
        <v>843</v>
      </c>
      <c r="F240" t="s">
        <v>842</v>
      </c>
      <c r="H240" s="8" t="s">
        <v>151</v>
      </c>
      <c r="I240" s="9"/>
      <c r="J240" s="10" t="s">
        <v>839</v>
      </c>
      <c r="K240" s="11" t="s">
        <v>42</v>
      </c>
      <c r="L240" t="s">
        <v>44</v>
      </c>
    </row>
    <row r="241" spans="3:12" x14ac:dyDescent="0.25">
      <c r="C241" t="s">
        <v>845</v>
      </c>
      <c r="D241" t="s">
        <v>846</v>
      </c>
      <c r="F241" t="s">
        <v>845</v>
      </c>
      <c r="H241" s="34"/>
      <c r="I241" s="34"/>
      <c r="J241" s="34"/>
      <c r="K241" s="34"/>
      <c r="L241" t="s">
        <v>42</v>
      </c>
    </row>
    <row r="242" spans="3:12" x14ac:dyDescent="0.25">
      <c r="C242"/>
      <c r="D242" t="s">
        <v>847</v>
      </c>
      <c r="F242"/>
      <c r="H242" s="35"/>
      <c r="I242" s="35"/>
      <c r="J242" s="35"/>
      <c r="K242" s="35"/>
    </row>
    <row r="243" spans="3:12" x14ac:dyDescent="0.25">
      <c r="C243"/>
      <c r="D243" t="s">
        <v>848</v>
      </c>
      <c r="F243"/>
      <c r="H243" s="36"/>
      <c r="I243" s="36"/>
      <c r="J243" s="36"/>
      <c r="K243" s="36"/>
    </row>
    <row r="244" spans="3:12" x14ac:dyDescent="0.25">
      <c r="C244"/>
      <c r="D244" t="s">
        <v>849</v>
      </c>
      <c r="F244"/>
    </row>
    <row r="245" spans="3:12" x14ac:dyDescent="0.25">
      <c r="C245"/>
      <c r="D245" t="s">
        <v>850</v>
      </c>
      <c r="F245"/>
    </row>
    <row r="246" spans="3:12" x14ac:dyDescent="0.25">
      <c r="C246"/>
      <c r="D246" t="s">
        <v>851</v>
      </c>
      <c r="F246"/>
    </row>
    <row r="247" spans="3:12" x14ac:dyDescent="0.25">
      <c r="C247"/>
      <c r="D247" t="s">
        <v>852</v>
      </c>
      <c r="F247"/>
    </row>
    <row r="248" spans="3:12" x14ac:dyDescent="0.25">
      <c r="C248"/>
      <c r="D248" t="s">
        <v>853</v>
      </c>
      <c r="F248"/>
    </row>
    <row r="249" spans="3:12" x14ac:dyDescent="0.25">
      <c r="C249"/>
      <c r="D249" t="s">
        <v>854</v>
      </c>
      <c r="F249"/>
    </row>
    <row r="250" spans="3:12" x14ac:dyDescent="0.25">
      <c r="C250"/>
      <c r="D250" t="s">
        <v>855</v>
      </c>
      <c r="F250"/>
    </row>
    <row r="251" spans="3:12" x14ac:dyDescent="0.25">
      <c r="C251"/>
      <c r="D251" t="s">
        <v>856</v>
      </c>
      <c r="F251"/>
    </row>
    <row r="252" spans="3:12" x14ac:dyDescent="0.25">
      <c r="C252"/>
      <c r="D252" t="s">
        <v>857</v>
      </c>
      <c r="F252"/>
    </row>
    <row r="253" spans="3:12" x14ac:dyDescent="0.25">
      <c r="C253"/>
      <c r="D253" t="s">
        <v>858</v>
      </c>
      <c r="F253"/>
    </row>
    <row r="254" spans="3:12" x14ac:dyDescent="0.25">
      <c r="C254"/>
      <c r="D254" t="s">
        <v>859</v>
      </c>
      <c r="F254"/>
    </row>
    <row r="255" spans="3:12" x14ac:dyDescent="0.25">
      <c r="C255"/>
      <c r="D255" t="s">
        <v>860</v>
      </c>
      <c r="F255"/>
    </row>
    <row r="256" spans="3:12" x14ac:dyDescent="0.25">
      <c r="C256" t="s">
        <v>845</v>
      </c>
      <c r="D256" t="s">
        <v>861</v>
      </c>
      <c r="F256" t="s">
        <v>845</v>
      </c>
    </row>
    <row r="257" spans="3:6" x14ac:dyDescent="0.25">
      <c r="C257"/>
      <c r="D257" t="s">
        <v>862</v>
      </c>
      <c r="F257"/>
    </row>
    <row r="258" spans="3:6" x14ac:dyDescent="0.25">
      <c r="C258" t="s">
        <v>882</v>
      </c>
      <c r="D258" t="s">
        <v>884</v>
      </c>
      <c r="F258" t="s">
        <v>882</v>
      </c>
    </row>
    <row r="259" spans="3:6" x14ac:dyDescent="0.25">
      <c r="C259"/>
      <c r="F259"/>
    </row>
    <row r="260" spans="3:6" x14ac:dyDescent="0.25">
      <c r="C260"/>
      <c r="F260"/>
    </row>
    <row r="261" spans="3:6" x14ac:dyDescent="0.25">
      <c r="C261"/>
      <c r="F261"/>
    </row>
    <row r="262" spans="3:6" x14ac:dyDescent="0.25">
      <c r="C262"/>
      <c r="F262"/>
    </row>
    <row r="263" spans="3:6" x14ac:dyDescent="0.25">
      <c r="C263"/>
      <c r="F263"/>
    </row>
    <row r="264" spans="3:6" x14ac:dyDescent="0.25">
      <c r="C264"/>
      <c r="F264"/>
    </row>
    <row r="265" spans="3:6" x14ac:dyDescent="0.25">
      <c r="C265"/>
      <c r="F265"/>
    </row>
    <row r="266" spans="3:6" x14ac:dyDescent="0.25">
      <c r="C266"/>
      <c r="F266"/>
    </row>
    <row r="267" spans="3:6" x14ac:dyDescent="0.25">
      <c r="C267"/>
      <c r="F267"/>
    </row>
    <row r="268" spans="3:6" x14ac:dyDescent="0.25">
      <c r="C268"/>
      <c r="F268"/>
    </row>
    <row r="269" spans="3:6" x14ac:dyDescent="0.25">
      <c r="C269"/>
      <c r="F269"/>
    </row>
    <row r="270" spans="3:6" x14ac:dyDescent="0.25">
      <c r="C270"/>
      <c r="F270"/>
    </row>
    <row r="271" spans="3:6" x14ac:dyDescent="0.25">
      <c r="C271"/>
      <c r="F271"/>
    </row>
    <row r="272" spans="3:6" x14ac:dyDescent="0.25">
      <c r="C272"/>
      <c r="F272"/>
    </row>
    <row r="273" spans="3:6" x14ac:dyDescent="0.25">
      <c r="C273"/>
      <c r="F273"/>
    </row>
    <row r="274" spans="3:6" x14ac:dyDescent="0.25">
      <c r="C274"/>
      <c r="F274"/>
    </row>
    <row r="275" spans="3:6" x14ac:dyDescent="0.25">
      <c r="C275"/>
      <c r="F275"/>
    </row>
    <row r="276" spans="3:6" x14ac:dyDescent="0.25">
      <c r="C276"/>
      <c r="F276"/>
    </row>
    <row r="277" spans="3:6" x14ac:dyDescent="0.25">
      <c r="C277"/>
      <c r="F277"/>
    </row>
    <row r="278" spans="3:6" x14ac:dyDescent="0.25">
      <c r="C278"/>
      <c r="F278"/>
    </row>
    <row r="279" spans="3:6" x14ac:dyDescent="0.25">
      <c r="C279"/>
      <c r="F279"/>
    </row>
    <row r="280" spans="3:6" x14ac:dyDescent="0.25">
      <c r="C280"/>
      <c r="F280"/>
    </row>
    <row r="281" spans="3:6" x14ac:dyDescent="0.25">
      <c r="C281"/>
      <c r="F281"/>
    </row>
    <row r="282" spans="3:6" x14ac:dyDescent="0.25">
      <c r="C282"/>
      <c r="F282"/>
    </row>
    <row r="283" spans="3:6" x14ac:dyDescent="0.25">
      <c r="C283"/>
      <c r="F283"/>
    </row>
    <row r="284" spans="3:6" x14ac:dyDescent="0.25">
      <c r="C284"/>
      <c r="F284"/>
    </row>
    <row r="285" spans="3:6" x14ac:dyDescent="0.25">
      <c r="C285"/>
      <c r="F285"/>
    </row>
    <row r="286" spans="3:6" x14ac:dyDescent="0.25">
      <c r="C286"/>
      <c r="F286"/>
    </row>
    <row r="287" spans="3:6" x14ac:dyDescent="0.25">
      <c r="C287"/>
      <c r="F287"/>
    </row>
    <row r="288" spans="3:6" x14ac:dyDescent="0.25">
      <c r="C288"/>
      <c r="F288"/>
    </row>
    <row r="289" spans="3:6" x14ac:dyDescent="0.25">
      <c r="C289"/>
      <c r="F289"/>
    </row>
    <row r="290" spans="3:6" x14ac:dyDescent="0.25">
      <c r="C290"/>
      <c r="F290"/>
    </row>
    <row r="291" spans="3:6" x14ac:dyDescent="0.25">
      <c r="C291"/>
      <c r="F291"/>
    </row>
    <row r="292" spans="3:6" x14ac:dyDescent="0.25">
      <c r="C292"/>
      <c r="F292"/>
    </row>
    <row r="293" spans="3:6" x14ac:dyDescent="0.25">
      <c r="C293"/>
      <c r="F293"/>
    </row>
    <row r="294" spans="3:6" x14ac:dyDescent="0.25">
      <c r="C294"/>
      <c r="F294"/>
    </row>
    <row r="295" spans="3:6" x14ac:dyDescent="0.25">
      <c r="C295"/>
      <c r="F295"/>
    </row>
    <row r="296" spans="3:6" x14ac:dyDescent="0.25">
      <c r="C296"/>
      <c r="F296"/>
    </row>
    <row r="297" spans="3:6" x14ac:dyDescent="0.25">
      <c r="C297"/>
      <c r="F297"/>
    </row>
    <row r="298" spans="3:6" x14ac:dyDescent="0.25">
      <c r="C298"/>
      <c r="F298"/>
    </row>
    <row r="299" spans="3:6" x14ac:dyDescent="0.25">
      <c r="C299"/>
      <c r="F299"/>
    </row>
    <row r="300" spans="3:6" x14ac:dyDescent="0.25">
      <c r="C300"/>
      <c r="F300"/>
    </row>
    <row r="301" spans="3:6" x14ac:dyDescent="0.25">
      <c r="C301"/>
      <c r="F301"/>
    </row>
    <row r="302" spans="3:6" x14ac:dyDescent="0.25">
      <c r="C302"/>
      <c r="F302"/>
    </row>
    <row r="303" spans="3:6" x14ac:dyDescent="0.25">
      <c r="C303"/>
      <c r="F303"/>
    </row>
    <row r="304" spans="3:6" x14ac:dyDescent="0.25">
      <c r="C304"/>
      <c r="F304"/>
    </row>
    <row r="305" spans="3:6" x14ac:dyDescent="0.25">
      <c r="C305"/>
      <c r="F305"/>
    </row>
    <row r="306" spans="3:6" x14ac:dyDescent="0.25">
      <c r="C306"/>
      <c r="F306"/>
    </row>
    <row r="307" spans="3:6" x14ac:dyDescent="0.25">
      <c r="C307"/>
      <c r="F307"/>
    </row>
    <row r="308" spans="3:6" x14ac:dyDescent="0.25">
      <c r="C308"/>
      <c r="F308"/>
    </row>
    <row r="309" spans="3:6" x14ac:dyDescent="0.25">
      <c r="C309"/>
      <c r="F309"/>
    </row>
    <row r="310" spans="3:6" x14ac:dyDescent="0.25">
      <c r="C310"/>
      <c r="F310"/>
    </row>
    <row r="311" spans="3:6" x14ac:dyDescent="0.25">
      <c r="C311"/>
      <c r="F311"/>
    </row>
    <row r="312" spans="3:6" x14ac:dyDescent="0.25">
      <c r="C312"/>
      <c r="F312"/>
    </row>
    <row r="313" spans="3:6" x14ac:dyDescent="0.25">
      <c r="C313"/>
      <c r="F313"/>
    </row>
    <row r="314" spans="3:6" x14ac:dyDescent="0.25">
      <c r="C314"/>
      <c r="F314"/>
    </row>
    <row r="315" spans="3:6" x14ac:dyDescent="0.25">
      <c r="C315"/>
      <c r="F315"/>
    </row>
    <row r="316" spans="3:6" x14ac:dyDescent="0.25">
      <c r="C316"/>
      <c r="F316"/>
    </row>
    <row r="317" spans="3:6" x14ac:dyDescent="0.25">
      <c r="C317"/>
      <c r="F317"/>
    </row>
    <row r="318" spans="3:6" x14ac:dyDescent="0.25">
      <c r="C318"/>
      <c r="F318"/>
    </row>
    <row r="319" spans="3:6" x14ac:dyDescent="0.25">
      <c r="C319"/>
      <c r="F319"/>
    </row>
    <row r="320" spans="3:6" x14ac:dyDescent="0.25">
      <c r="C320"/>
      <c r="F320"/>
    </row>
    <row r="321" spans="3:6" x14ac:dyDescent="0.25">
      <c r="C321"/>
      <c r="F321"/>
    </row>
    <row r="322" spans="3:6" x14ac:dyDescent="0.25">
      <c r="C322"/>
      <c r="F322"/>
    </row>
    <row r="323" spans="3:6" x14ac:dyDescent="0.25">
      <c r="C323"/>
      <c r="F323"/>
    </row>
    <row r="324" spans="3:6" x14ac:dyDescent="0.25">
      <c r="C324"/>
      <c r="F324"/>
    </row>
    <row r="325" spans="3:6" x14ac:dyDescent="0.25">
      <c r="C325"/>
      <c r="F325"/>
    </row>
    <row r="326" spans="3:6" x14ac:dyDescent="0.25">
      <c r="C326"/>
      <c r="F326"/>
    </row>
    <row r="327" spans="3:6" x14ac:dyDescent="0.25">
      <c r="C327"/>
      <c r="F327"/>
    </row>
    <row r="328" spans="3:6" x14ac:dyDescent="0.25">
      <c r="C328"/>
      <c r="F328"/>
    </row>
    <row r="329" spans="3:6" x14ac:dyDescent="0.25">
      <c r="C329"/>
      <c r="F329"/>
    </row>
    <row r="330" spans="3:6" x14ac:dyDescent="0.25">
      <c r="C330"/>
      <c r="F330"/>
    </row>
    <row r="331" spans="3:6" x14ac:dyDescent="0.25">
      <c r="C331"/>
      <c r="F331"/>
    </row>
    <row r="332" spans="3:6" x14ac:dyDescent="0.25">
      <c r="C332"/>
      <c r="F332"/>
    </row>
    <row r="333" spans="3:6" x14ac:dyDescent="0.25">
      <c r="C333"/>
      <c r="F333"/>
    </row>
    <row r="334" spans="3:6" x14ac:dyDescent="0.25">
      <c r="C334"/>
      <c r="F334"/>
    </row>
    <row r="335" spans="3:6" x14ac:dyDescent="0.25">
      <c r="C335"/>
      <c r="F335"/>
    </row>
    <row r="336" spans="3:6" x14ac:dyDescent="0.25">
      <c r="C336"/>
      <c r="F336"/>
    </row>
    <row r="337" spans="3:6" x14ac:dyDescent="0.25">
      <c r="C337"/>
      <c r="F337"/>
    </row>
    <row r="338" spans="3:6" x14ac:dyDescent="0.25">
      <c r="C338"/>
      <c r="F338"/>
    </row>
    <row r="339" spans="3:6" x14ac:dyDescent="0.25">
      <c r="C339"/>
      <c r="F339"/>
    </row>
    <row r="340" spans="3:6" x14ac:dyDescent="0.25">
      <c r="C340"/>
      <c r="F340"/>
    </row>
    <row r="341" spans="3:6" x14ac:dyDescent="0.25">
      <c r="C341"/>
      <c r="F341"/>
    </row>
    <row r="342" spans="3:6" x14ac:dyDescent="0.25">
      <c r="C342"/>
      <c r="F342"/>
    </row>
    <row r="343" spans="3:6" x14ac:dyDescent="0.25">
      <c r="C343"/>
      <c r="F343"/>
    </row>
    <row r="344" spans="3:6" x14ac:dyDescent="0.25">
      <c r="C344"/>
      <c r="F344"/>
    </row>
    <row r="345" spans="3:6" x14ac:dyDescent="0.25">
      <c r="C345"/>
      <c r="F345"/>
    </row>
    <row r="346" spans="3:6" x14ac:dyDescent="0.25">
      <c r="C346"/>
      <c r="F346"/>
    </row>
    <row r="347" spans="3:6" x14ac:dyDescent="0.25">
      <c r="C347"/>
      <c r="F347"/>
    </row>
    <row r="348" spans="3:6" x14ac:dyDescent="0.25">
      <c r="C348"/>
      <c r="F348"/>
    </row>
    <row r="349" spans="3:6" x14ac:dyDescent="0.25">
      <c r="C349"/>
      <c r="F349"/>
    </row>
    <row r="350" spans="3:6" x14ac:dyDescent="0.25">
      <c r="C350"/>
      <c r="F350"/>
    </row>
    <row r="351" spans="3:6" x14ac:dyDescent="0.25">
      <c r="C351"/>
      <c r="F351"/>
    </row>
    <row r="352" spans="3:6" x14ac:dyDescent="0.25">
      <c r="C352"/>
      <c r="F352"/>
    </row>
    <row r="353" spans="3:6" x14ac:dyDescent="0.25">
      <c r="C353"/>
      <c r="F353"/>
    </row>
    <row r="354" spans="3:6" x14ac:dyDescent="0.25">
      <c r="C354"/>
      <c r="F354"/>
    </row>
    <row r="355" spans="3:6" x14ac:dyDescent="0.25">
      <c r="C355"/>
      <c r="F355"/>
    </row>
    <row r="356" spans="3:6" x14ac:dyDescent="0.25">
      <c r="C356"/>
      <c r="F356"/>
    </row>
    <row r="357" spans="3:6" x14ac:dyDescent="0.25">
      <c r="C357"/>
      <c r="F357"/>
    </row>
    <row r="358" spans="3:6" x14ac:dyDescent="0.25">
      <c r="C358"/>
      <c r="F358"/>
    </row>
    <row r="359" spans="3:6" x14ac:dyDescent="0.25">
      <c r="C359"/>
      <c r="F359"/>
    </row>
    <row r="360" spans="3:6" x14ac:dyDescent="0.25">
      <c r="C360"/>
      <c r="F360"/>
    </row>
    <row r="361" spans="3:6" x14ac:dyDescent="0.25">
      <c r="C361"/>
      <c r="F361"/>
    </row>
    <row r="362" spans="3:6" x14ac:dyDescent="0.25">
      <c r="C362"/>
      <c r="F362"/>
    </row>
    <row r="363" spans="3:6" x14ac:dyDescent="0.25">
      <c r="C363"/>
      <c r="F363"/>
    </row>
    <row r="364" spans="3:6" x14ac:dyDescent="0.25">
      <c r="C364"/>
      <c r="F364"/>
    </row>
    <row r="365" spans="3:6" x14ac:dyDescent="0.25">
      <c r="C365"/>
      <c r="F365"/>
    </row>
    <row r="366" spans="3:6" x14ac:dyDescent="0.25">
      <c r="C366"/>
      <c r="F366"/>
    </row>
    <row r="367" spans="3:6" x14ac:dyDescent="0.25">
      <c r="C367"/>
      <c r="F367"/>
    </row>
    <row r="368" spans="3:6" x14ac:dyDescent="0.25">
      <c r="C368"/>
      <c r="F368"/>
    </row>
    <row r="369" spans="3:6" x14ac:dyDescent="0.25">
      <c r="C369"/>
      <c r="F369"/>
    </row>
    <row r="370" spans="3:6" x14ac:dyDescent="0.25">
      <c r="C370"/>
      <c r="F370"/>
    </row>
    <row r="371" spans="3:6" x14ac:dyDescent="0.25">
      <c r="C371"/>
      <c r="F371"/>
    </row>
    <row r="372" spans="3:6" x14ac:dyDescent="0.25">
      <c r="C372"/>
      <c r="F372"/>
    </row>
    <row r="373" spans="3:6" x14ac:dyDescent="0.25">
      <c r="C373"/>
      <c r="F373"/>
    </row>
    <row r="374" spans="3:6" x14ac:dyDescent="0.25">
      <c r="C374"/>
      <c r="F374"/>
    </row>
    <row r="375" spans="3:6" x14ac:dyDescent="0.25">
      <c r="C375"/>
      <c r="F375"/>
    </row>
    <row r="376" spans="3:6" x14ac:dyDescent="0.25">
      <c r="C376"/>
      <c r="F376"/>
    </row>
    <row r="377" spans="3:6" x14ac:dyDescent="0.25">
      <c r="C377"/>
      <c r="F377"/>
    </row>
    <row r="378" spans="3:6" x14ac:dyDescent="0.25">
      <c r="C378"/>
      <c r="F378"/>
    </row>
    <row r="379" spans="3:6" x14ac:dyDescent="0.25">
      <c r="C379"/>
      <c r="F379"/>
    </row>
    <row r="380" spans="3:6" x14ac:dyDescent="0.25">
      <c r="C380"/>
      <c r="F380"/>
    </row>
    <row r="381" spans="3:6" x14ac:dyDescent="0.25">
      <c r="C381"/>
      <c r="F381"/>
    </row>
    <row r="382" spans="3:6" x14ac:dyDescent="0.25">
      <c r="C382"/>
      <c r="F382"/>
    </row>
    <row r="383" spans="3:6" x14ac:dyDescent="0.25">
      <c r="C383"/>
      <c r="F383"/>
    </row>
    <row r="384" spans="3:6" x14ac:dyDescent="0.25">
      <c r="C384"/>
      <c r="F384"/>
    </row>
    <row r="385" spans="3:6" x14ac:dyDescent="0.25">
      <c r="C385"/>
      <c r="F385"/>
    </row>
    <row r="386" spans="3:6" x14ac:dyDescent="0.25">
      <c r="C386"/>
      <c r="F386"/>
    </row>
    <row r="387" spans="3:6" x14ac:dyDescent="0.25">
      <c r="C387"/>
      <c r="F387"/>
    </row>
    <row r="388" spans="3:6" x14ac:dyDescent="0.25">
      <c r="C388"/>
      <c r="F388"/>
    </row>
    <row r="389" spans="3:6" x14ac:dyDescent="0.25">
      <c r="C389"/>
      <c r="F389"/>
    </row>
    <row r="390" spans="3:6" x14ac:dyDescent="0.25">
      <c r="C390"/>
      <c r="F390"/>
    </row>
    <row r="391" spans="3:6" x14ac:dyDescent="0.25">
      <c r="C391"/>
      <c r="F391"/>
    </row>
    <row r="392" spans="3:6" x14ac:dyDescent="0.25">
      <c r="C392"/>
      <c r="F392"/>
    </row>
    <row r="393" spans="3:6" x14ac:dyDescent="0.25">
      <c r="C393"/>
      <c r="F393"/>
    </row>
    <row r="394" spans="3:6" x14ac:dyDescent="0.25">
      <c r="C394"/>
      <c r="F394"/>
    </row>
    <row r="395" spans="3:6" x14ac:dyDescent="0.25">
      <c r="C395"/>
      <c r="F395"/>
    </row>
    <row r="396" spans="3:6" x14ac:dyDescent="0.25">
      <c r="C396"/>
      <c r="F396"/>
    </row>
    <row r="397" spans="3:6" x14ac:dyDescent="0.25">
      <c r="C397"/>
      <c r="F397"/>
    </row>
    <row r="398" spans="3:6" x14ac:dyDescent="0.25">
      <c r="C398"/>
      <c r="F398"/>
    </row>
    <row r="399" spans="3:6" x14ac:dyDescent="0.25">
      <c r="C399"/>
      <c r="F399"/>
    </row>
    <row r="400" spans="3:6" x14ac:dyDescent="0.25">
      <c r="C400"/>
      <c r="F400"/>
    </row>
    <row r="401" spans="3:6" x14ac:dyDescent="0.25">
      <c r="C401"/>
      <c r="F401"/>
    </row>
    <row r="402" spans="3:6" x14ac:dyDescent="0.25">
      <c r="C402"/>
      <c r="F402"/>
    </row>
    <row r="403" spans="3:6" x14ac:dyDescent="0.25">
      <c r="C403"/>
      <c r="F403"/>
    </row>
    <row r="404" spans="3:6" x14ac:dyDescent="0.25">
      <c r="C404"/>
      <c r="F404"/>
    </row>
    <row r="405" spans="3:6" x14ac:dyDescent="0.25">
      <c r="C405"/>
      <c r="F405"/>
    </row>
    <row r="406" spans="3:6" x14ac:dyDescent="0.25">
      <c r="C406"/>
      <c r="F406"/>
    </row>
    <row r="407" spans="3:6" x14ac:dyDescent="0.25">
      <c r="C407"/>
      <c r="F407"/>
    </row>
    <row r="408" spans="3:6" x14ac:dyDescent="0.25">
      <c r="C408"/>
      <c r="F408"/>
    </row>
    <row r="409" spans="3:6" x14ac:dyDescent="0.25">
      <c r="C409"/>
      <c r="F409"/>
    </row>
    <row r="410" spans="3:6" x14ac:dyDescent="0.25">
      <c r="C410"/>
      <c r="F410"/>
    </row>
    <row r="411" spans="3:6" x14ac:dyDescent="0.25">
      <c r="C411"/>
      <c r="F411"/>
    </row>
    <row r="412" spans="3:6" x14ac:dyDescent="0.25">
      <c r="C412"/>
      <c r="F412"/>
    </row>
    <row r="413" spans="3:6" x14ac:dyDescent="0.25">
      <c r="C413"/>
      <c r="F413"/>
    </row>
    <row r="414" spans="3:6" x14ac:dyDescent="0.25">
      <c r="C414"/>
      <c r="F414"/>
    </row>
    <row r="415" spans="3:6" x14ac:dyDescent="0.25">
      <c r="C415"/>
      <c r="F415"/>
    </row>
    <row r="416" spans="3:6" x14ac:dyDescent="0.25">
      <c r="C416"/>
      <c r="F416"/>
    </row>
    <row r="417" spans="3:6" x14ac:dyDescent="0.25">
      <c r="C417"/>
      <c r="F417"/>
    </row>
    <row r="418" spans="3:6" x14ac:dyDescent="0.25">
      <c r="C418"/>
      <c r="F418"/>
    </row>
    <row r="419" spans="3:6" x14ac:dyDescent="0.25">
      <c r="C419"/>
      <c r="F419"/>
    </row>
    <row r="420" spans="3:6" x14ac:dyDescent="0.25">
      <c r="C420"/>
      <c r="F420"/>
    </row>
    <row r="421" spans="3:6" x14ac:dyDescent="0.25">
      <c r="C421"/>
      <c r="F421"/>
    </row>
    <row r="422" spans="3:6" x14ac:dyDescent="0.25">
      <c r="C422"/>
      <c r="F422"/>
    </row>
    <row r="423" spans="3:6" x14ac:dyDescent="0.25">
      <c r="C423"/>
      <c r="F423"/>
    </row>
    <row r="424" spans="3:6" x14ac:dyDescent="0.25">
      <c r="C424"/>
      <c r="F424"/>
    </row>
    <row r="425" spans="3:6" x14ac:dyDescent="0.25">
      <c r="C425"/>
      <c r="F425"/>
    </row>
    <row r="426" spans="3:6" x14ac:dyDescent="0.25">
      <c r="C426"/>
      <c r="F426"/>
    </row>
    <row r="427" spans="3:6" x14ac:dyDescent="0.25">
      <c r="C427"/>
      <c r="F427"/>
    </row>
    <row r="428" spans="3:6" x14ac:dyDescent="0.25">
      <c r="C428"/>
      <c r="F428"/>
    </row>
    <row r="429" spans="3:6" x14ac:dyDescent="0.25">
      <c r="C429"/>
      <c r="F429"/>
    </row>
    <row r="430" spans="3:6" x14ac:dyDescent="0.25">
      <c r="C430"/>
      <c r="F430"/>
    </row>
    <row r="431" spans="3:6" x14ac:dyDescent="0.25">
      <c r="C431"/>
      <c r="F431"/>
    </row>
    <row r="432" spans="3:6" x14ac:dyDescent="0.25">
      <c r="C432"/>
      <c r="F432"/>
    </row>
    <row r="433" spans="3:6" x14ac:dyDescent="0.25">
      <c r="C433"/>
      <c r="F433"/>
    </row>
    <row r="434" spans="3:6" x14ac:dyDescent="0.25">
      <c r="C434"/>
      <c r="F434"/>
    </row>
    <row r="435" spans="3:6" x14ac:dyDescent="0.25">
      <c r="C435"/>
      <c r="F435"/>
    </row>
    <row r="436" spans="3:6" x14ac:dyDescent="0.25">
      <c r="C436"/>
      <c r="F436"/>
    </row>
    <row r="437" spans="3:6" x14ac:dyDescent="0.25">
      <c r="C437"/>
      <c r="F437"/>
    </row>
    <row r="438" spans="3:6" x14ac:dyDescent="0.25">
      <c r="C438"/>
      <c r="F438"/>
    </row>
    <row r="439" spans="3:6" x14ac:dyDescent="0.25">
      <c r="C439"/>
      <c r="F439"/>
    </row>
    <row r="440" spans="3:6" x14ac:dyDescent="0.25">
      <c r="C440"/>
      <c r="F440"/>
    </row>
    <row r="441" spans="3:6" x14ac:dyDescent="0.25">
      <c r="C441"/>
      <c r="F441"/>
    </row>
    <row r="442" spans="3:6" x14ac:dyDescent="0.25">
      <c r="C442"/>
      <c r="F442"/>
    </row>
    <row r="443" spans="3:6" x14ac:dyDescent="0.25">
      <c r="C443"/>
      <c r="F443"/>
    </row>
    <row r="444" spans="3:6" x14ac:dyDescent="0.25">
      <c r="C444"/>
      <c r="F444"/>
    </row>
    <row r="445" spans="3:6" x14ac:dyDescent="0.25">
      <c r="C445"/>
      <c r="F445"/>
    </row>
    <row r="446" spans="3:6" x14ac:dyDescent="0.25">
      <c r="C446"/>
      <c r="F446"/>
    </row>
    <row r="447" spans="3:6" x14ac:dyDescent="0.25">
      <c r="C447"/>
      <c r="F447"/>
    </row>
    <row r="448" spans="3:6" x14ac:dyDescent="0.25">
      <c r="C448"/>
      <c r="F448"/>
    </row>
    <row r="449" spans="3:6" x14ac:dyDescent="0.25">
      <c r="C449"/>
      <c r="F449"/>
    </row>
    <row r="450" spans="3:6" x14ac:dyDescent="0.25">
      <c r="C450"/>
      <c r="F450"/>
    </row>
    <row r="451" spans="3:6" x14ac:dyDescent="0.25">
      <c r="C451"/>
      <c r="F451"/>
    </row>
    <row r="452" spans="3:6" x14ac:dyDescent="0.25">
      <c r="C452"/>
      <c r="F452"/>
    </row>
    <row r="453" spans="3:6" x14ac:dyDescent="0.25">
      <c r="C453"/>
      <c r="F453"/>
    </row>
    <row r="454" spans="3:6" x14ac:dyDescent="0.25">
      <c r="C454"/>
      <c r="F454"/>
    </row>
    <row r="455" spans="3:6" x14ac:dyDescent="0.25">
      <c r="C455"/>
      <c r="F455"/>
    </row>
    <row r="456" spans="3:6" x14ac:dyDescent="0.25">
      <c r="C456"/>
      <c r="F456"/>
    </row>
    <row r="457" spans="3:6" x14ac:dyDescent="0.25">
      <c r="C457"/>
      <c r="F457"/>
    </row>
    <row r="458" spans="3:6" x14ac:dyDescent="0.25">
      <c r="C458"/>
      <c r="F458"/>
    </row>
    <row r="459" spans="3:6" x14ac:dyDescent="0.25">
      <c r="C459"/>
      <c r="F459"/>
    </row>
    <row r="460" spans="3:6" x14ac:dyDescent="0.25">
      <c r="C460"/>
      <c r="F460"/>
    </row>
    <row r="461" spans="3:6" x14ac:dyDescent="0.25">
      <c r="C461"/>
      <c r="F461"/>
    </row>
    <row r="462" spans="3:6" x14ac:dyDescent="0.25">
      <c r="C462"/>
      <c r="F462"/>
    </row>
    <row r="463" spans="3:6" x14ac:dyDescent="0.25">
      <c r="C463"/>
      <c r="F463"/>
    </row>
    <row r="464" spans="3:6" x14ac:dyDescent="0.25">
      <c r="C464"/>
      <c r="F464"/>
    </row>
    <row r="465" spans="3:6" x14ac:dyDescent="0.25">
      <c r="C465"/>
      <c r="F465"/>
    </row>
    <row r="466" spans="3:6" x14ac:dyDescent="0.25">
      <c r="C466"/>
      <c r="F466"/>
    </row>
    <row r="467" spans="3:6" x14ac:dyDescent="0.25">
      <c r="C467"/>
      <c r="F467"/>
    </row>
    <row r="468" spans="3:6" x14ac:dyDescent="0.25">
      <c r="C468"/>
      <c r="F468"/>
    </row>
    <row r="469" spans="3:6" x14ac:dyDescent="0.25">
      <c r="C469"/>
      <c r="F469"/>
    </row>
    <row r="470" spans="3:6" x14ac:dyDescent="0.25">
      <c r="C470"/>
      <c r="F470"/>
    </row>
    <row r="471" spans="3:6" x14ac:dyDescent="0.25">
      <c r="C471"/>
      <c r="F471"/>
    </row>
    <row r="472" spans="3:6" x14ac:dyDescent="0.25">
      <c r="C472"/>
      <c r="F472"/>
    </row>
    <row r="473" spans="3:6" x14ac:dyDescent="0.25">
      <c r="C473"/>
      <c r="F473"/>
    </row>
    <row r="474" spans="3:6" x14ac:dyDescent="0.25">
      <c r="C474"/>
      <c r="F474"/>
    </row>
    <row r="475" spans="3:6" x14ac:dyDescent="0.25">
      <c r="C475"/>
      <c r="F475"/>
    </row>
    <row r="476" spans="3:6" x14ac:dyDescent="0.25">
      <c r="C476"/>
      <c r="F476"/>
    </row>
    <row r="477" spans="3:6" x14ac:dyDescent="0.25">
      <c r="C477"/>
      <c r="F477"/>
    </row>
    <row r="478" spans="3:6" x14ac:dyDescent="0.25">
      <c r="C478"/>
      <c r="F478"/>
    </row>
    <row r="479" spans="3:6" x14ac:dyDescent="0.25">
      <c r="C479"/>
      <c r="F479"/>
    </row>
    <row r="480" spans="3:6" x14ac:dyDescent="0.25">
      <c r="C480"/>
      <c r="F480"/>
    </row>
    <row r="481" spans="3:6" x14ac:dyDescent="0.25">
      <c r="C481"/>
      <c r="F481"/>
    </row>
    <row r="482" spans="3:6" x14ac:dyDescent="0.25">
      <c r="C482"/>
      <c r="F482"/>
    </row>
    <row r="483" spans="3:6" x14ac:dyDescent="0.25">
      <c r="C483"/>
      <c r="F483"/>
    </row>
    <row r="484" spans="3:6" x14ac:dyDescent="0.25">
      <c r="C484"/>
      <c r="F484"/>
    </row>
    <row r="485" spans="3:6" x14ac:dyDescent="0.25">
      <c r="C485"/>
      <c r="F485"/>
    </row>
    <row r="486" spans="3:6" x14ac:dyDescent="0.25">
      <c r="C486"/>
      <c r="F486"/>
    </row>
    <row r="487" spans="3:6" x14ac:dyDescent="0.25">
      <c r="C487"/>
      <c r="F487"/>
    </row>
    <row r="488" spans="3:6" x14ac:dyDescent="0.25">
      <c r="C488"/>
      <c r="F488"/>
    </row>
    <row r="489" spans="3:6" x14ac:dyDescent="0.25">
      <c r="C489"/>
      <c r="F489"/>
    </row>
    <row r="490" spans="3:6" x14ac:dyDescent="0.25">
      <c r="C490"/>
      <c r="F490"/>
    </row>
    <row r="491" spans="3:6" x14ac:dyDescent="0.25">
      <c r="C491"/>
      <c r="F491"/>
    </row>
    <row r="492" spans="3:6" x14ac:dyDescent="0.25">
      <c r="C492"/>
      <c r="F492"/>
    </row>
    <row r="493" spans="3:6" x14ac:dyDescent="0.25">
      <c r="C493"/>
      <c r="F493"/>
    </row>
    <row r="494" spans="3:6" x14ac:dyDescent="0.25">
      <c r="C494"/>
      <c r="F494"/>
    </row>
    <row r="495" spans="3:6" x14ac:dyDescent="0.25">
      <c r="C495"/>
      <c r="F495"/>
    </row>
    <row r="496" spans="3:6" x14ac:dyDescent="0.25">
      <c r="C496"/>
      <c r="F496"/>
    </row>
    <row r="497" spans="3:6" x14ac:dyDescent="0.25">
      <c r="C497"/>
      <c r="F497"/>
    </row>
    <row r="498" spans="3:6" x14ac:dyDescent="0.25">
      <c r="C498"/>
      <c r="F498"/>
    </row>
    <row r="499" spans="3:6" x14ac:dyDescent="0.25">
      <c r="C499"/>
      <c r="F499"/>
    </row>
    <row r="500" spans="3:6" x14ac:dyDescent="0.25">
      <c r="C500"/>
      <c r="F500"/>
    </row>
    <row r="501" spans="3:6" x14ac:dyDescent="0.25">
      <c r="C501"/>
      <c r="F501"/>
    </row>
    <row r="502" spans="3:6" x14ac:dyDescent="0.25">
      <c r="C502"/>
      <c r="F502"/>
    </row>
    <row r="503" spans="3:6" x14ac:dyDescent="0.25">
      <c r="C503"/>
      <c r="F503"/>
    </row>
    <row r="504" spans="3:6" x14ac:dyDescent="0.25">
      <c r="C504"/>
      <c r="F504"/>
    </row>
    <row r="505" spans="3:6" x14ac:dyDescent="0.25">
      <c r="C505"/>
      <c r="F505"/>
    </row>
    <row r="506" spans="3:6" x14ac:dyDescent="0.25">
      <c r="C506"/>
      <c r="F506"/>
    </row>
    <row r="507" spans="3:6" x14ac:dyDescent="0.25">
      <c r="C507"/>
      <c r="F507"/>
    </row>
    <row r="508" spans="3:6" x14ac:dyDescent="0.25">
      <c r="C508"/>
      <c r="F508"/>
    </row>
    <row r="509" spans="3:6" x14ac:dyDescent="0.25">
      <c r="C509"/>
      <c r="F509"/>
    </row>
    <row r="510" spans="3:6" x14ac:dyDescent="0.25">
      <c r="C510"/>
      <c r="F510"/>
    </row>
    <row r="511" spans="3:6" x14ac:dyDescent="0.25">
      <c r="C511"/>
      <c r="F511"/>
    </row>
    <row r="512" spans="3:6" x14ac:dyDescent="0.25">
      <c r="C512"/>
      <c r="F512"/>
    </row>
    <row r="513" spans="3:6" x14ac:dyDescent="0.25">
      <c r="C513"/>
      <c r="F513"/>
    </row>
    <row r="514" spans="3:6" x14ac:dyDescent="0.25">
      <c r="C514"/>
      <c r="F514"/>
    </row>
    <row r="515" spans="3:6" x14ac:dyDescent="0.25">
      <c r="C515"/>
      <c r="F515"/>
    </row>
    <row r="516" spans="3:6" x14ac:dyDescent="0.25">
      <c r="C516"/>
      <c r="F516"/>
    </row>
    <row r="517" spans="3:6" x14ac:dyDescent="0.25">
      <c r="C517"/>
      <c r="F517"/>
    </row>
    <row r="518" spans="3:6" x14ac:dyDescent="0.25">
      <c r="C518"/>
      <c r="F518"/>
    </row>
    <row r="519" spans="3:6" x14ac:dyDescent="0.25">
      <c r="C519"/>
      <c r="F519"/>
    </row>
    <row r="520" spans="3:6" x14ac:dyDescent="0.25">
      <c r="C520"/>
      <c r="F520"/>
    </row>
    <row r="521" spans="3:6" x14ac:dyDescent="0.25">
      <c r="C521"/>
      <c r="F521"/>
    </row>
    <row r="522" spans="3:6" x14ac:dyDescent="0.25">
      <c r="C522"/>
      <c r="F522"/>
    </row>
    <row r="523" spans="3:6" x14ac:dyDescent="0.25">
      <c r="C523"/>
      <c r="F523"/>
    </row>
    <row r="524" spans="3:6" x14ac:dyDescent="0.25">
      <c r="C524"/>
      <c r="F524"/>
    </row>
    <row r="525" spans="3:6" x14ac:dyDescent="0.25">
      <c r="C525"/>
      <c r="F525"/>
    </row>
    <row r="526" spans="3:6" x14ac:dyDescent="0.25">
      <c r="C526"/>
      <c r="F526"/>
    </row>
    <row r="527" spans="3:6" x14ac:dyDescent="0.25">
      <c r="C527"/>
      <c r="F527"/>
    </row>
    <row r="528" spans="3:6" x14ac:dyDescent="0.25">
      <c r="C528"/>
      <c r="F528"/>
    </row>
    <row r="529" spans="3:6" x14ac:dyDescent="0.25">
      <c r="C529"/>
      <c r="F529"/>
    </row>
    <row r="530" spans="3:6" x14ac:dyDescent="0.25">
      <c r="C530"/>
      <c r="F530"/>
    </row>
    <row r="531" spans="3:6" x14ac:dyDescent="0.25">
      <c r="C531"/>
      <c r="F531"/>
    </row>
    <row r="532" spans="3:6" x14ac:dyDescent="0.25">
      <c r="C532"/>
      <c r="F532"/>
    </row>
    <row r="533" spans="3:6" x14ac:dyDescent="0.25">
      <c r="C533"/>
      <c r="F533"/>
    </row>
    <row r="534" spans="3:6" x14ac:dyDescent="0.25">
      <c r="C534"/>
      <c r="F534"/>
    </row>
    <row r="535" spans="3:6" x14ac:dyDescent="0.25">
      <c r="C535"/>
      <c r="F535"/>
    </row>
    <row r="536" spans="3:6" x14ac:dyDescent="0.25">
      <c r="C536"/>
      <c r="F536"/>
    </row>
    <row r="537" spans="3:6" x14ac:dyDescent="0.25">
      <c r="C537"/>
      <c r="F537"/>
    </row>
    <row r="538" spans="3:6" x14ac:dyDescent="0.25">
      <c r="C538"/>
      <c r="F538"/>
    </row>
    <row r="539" spans="3:6" x14ac:dyDescent="0.25">
      <c r="C539"/>
      <c r="F539"/>
    </row>
    <row r="540" spans="3:6" x14ac:dyDescent="0.25">
      <c r="C540"/>
      <c r="F540"/>
    </row>
    <row r="541" spans="3:6" x14ac:dyDescent="0.25">
      <c r="C541"/>
      <c r="F541"/>
    </row>
    <row r="542" spans="3:6" x14ac:dyDescent="0.25">
      <c r="C542"/>
      <c r="F542"/>
    </row>
    <row r="543" spans="3:6" x14ac:dyDescent="0.25">
      <c r="C543"/>
      <c r="F543"/>
    </row>
    <row r="544" spans="3:6" x14ac:dyDescent="0.25">
      <c r="C544"/>
      <c r="F544"/>
    </row>
    <row r="545" spans="3:6" x14ac:dyDescent="0.25">
      <c r="C545"/>
      <c r="F545"/>
    </row>
    <row r="546" spans="3:6" x14ac:dyDescent="0.25">
      <c r="C546"/>
      <c r="F546"/>
    </row>
    <row r="547" spans="3:6" x14ac:dyDescent="0.25">
      <c r="C547"/>
      <c r="F547"/>
    </row>
    <row r="548" spans="3:6" x14ac:dyDescent="0.25">
      <c r="C548"/>
      <c r="F548"/>
    </row>
    <row r="549" spans="3:6" x14ac:dyDescent="0.25">
      <c r="C549"/>
      <c r="F549"/>
    </row>
    <row r="550" spans="3:6" x14ac:dyDescent="0.25">
      <c r="C550"/>
      <c r="F550"/>
    </row>
    <row r="551" spans="3:6" x14ac:dyDescent="0.25">
      <c r="C551"/>
      <c r="F551"/>
    </row>
    <row r="552" spans="3:6" x14ac:dyDescent="0.25">
      <c r="C552"/>
      <c r="F552"/>
    </row>
    <row r="553" spans="3:6" x14ac:dyDescent="0.25">
      <c r="C553"/>
      <c r="F553"/>
    </row>
    <row r="554" spans="3:6" x14ac:dyDescent="0.25">
      <c r="C554"/>
      <c r="F554"/>
    </row>
    <row r="555" spans="3:6" x14ac:dyDescent="0.25">
      <c r="C555"/>
      <c r="F555"/>
    </row>
    <row r="556" spans="3:6" x14ac:dyDescent="0.25">
      <c r="C556"/>
      <c r="F556"/>
    </row>
    <row r="557" spans="3:6" x14ac:dyDescent="0.25">
      <c r="C557"/>
      <c r="F557"/>
    </row>
    <row r="558" spans="3:6" x14ac:dyDescent="0.25">
      <c r="C558"/>
      <c r="F558"/>
    </row>
    <row r="559" spans="3:6" x14ac:dyDescent="0.25">
      <c r="C559"/>
      <c r="F559"/>
    </row>
    <row r="560" spans="3:6" x14ac:dyDescent="0.25">
      <c r="C560"/>
      <c r="F560"/>
    </row>
    <row r="561" spans="3:6" x14ac:dyDescent="0.25">
      <c r="C561"/>
      <c r="F561"/>
    </row>
    <row r="562" spans="3:6" x14ac:dyDescent="0.25">
      <c r="C562"/>
      <c r="F562"/>
    </row>
    <row r="563" spans="3:6" x14ac:dyDescent="0.25">
      <c r="C563"/>
      <c r="F563"/>
    </row>
    <row r="564" spans="3:6" x14ac:dyDescent="0.25">
      <c r="C564"/>
      <c r="F564"/>
    </row>
    <row r="565" spans="3:6" x14ac:dyDescent="0.25">
      <c r="C565"/>
      <c r="F565"/>
    </row>
    <row r="566" spans="3:6" x14ac:dyDescent="0.25">
      <c r="C566"/>
      <c r="F566"/>
    </row>
    <row r="567" spans="3:6" x14ac:dyDescent="0.25">
      <c r="C567"/>
      <c r="F567"/>
    </row>
    <row r="568" spans="3:6" x14ac:dyDescent="0.25">
      <c r="C568"/>
      <c r="F568"/>
    </row>
    <row r="569" spans="3:6" x14ac:dyDescent="0.25">
      <c r="C569"/>
      <c r="F569"/>
    </row>
    <row r="570" spans="3:6" x14ac:dyDescent="0.25">
      <c r="C570"/>
      <c r="F570"/>
    </row>
    <row r="571" spans="3:6" x14ac:dyDescent="0.25">
      <c r="C571"/>
      <c r="F571"/>
    </row>
    <row r="572" spans="3:6" x14ac:dyDescent="0.25">
      <c r="C572"/>
      <c r="F572"/>
    </row>
    <row r="573" spans="3:6" x14ac:dyDescent="0.25">
      <c r="C573"/>
      <c r="F573"/>
    </row>
    <row r="574" spans="3:6" x14ac:dyDescent="0.25">
      <c r="C574"/>
      <c r="F574"/>
    </row>
    <row r="575" spans="3:6" x14ac:dyDescent="0.25">
      <c r="C575"/>
      <c r="F575"/>
    </row>
    <row r="576" spans="3:6" x14ac:dyDescent="0.25">
      <c r="C576"/>
      <c r="F576"/>
    </row>
    <row r="577" spans="3:6" x14ac:dyDescent="0.25">
      <c r="C577"/>
      <c r="F577"/>
    </row>
    <row r="578" spans="3:6" x14ac:dyDescent="0.25">
      <c r="C578"/>
      <c r="F578"/>
    </row>
    <row r="579" spans="3:6" x14ac:dyDescent="0.25">
      <c r="C579"/>
      <c r="F579"/>
    </row>
    <row r="580" spans="3:6" x14ac:dyDescent="0.25">
      <c r="C580"/>
      <c r="F580"/>
    </row>
    <row r="581" spans="3:6" x14ac:dyDescent="0.25">
      <c r="C581"/>
      <c r="F581"/>
    </row>
    <row r="582" spans="3:6" x14ac:dyDescent="0.25">
      <c r="C582"/>
      <c r="F582"/>
    </row>
    <row r="583" spans="3:6" x14ac:dyDescent="0.25">
      <c r="C583"/>
      <c r="F583"/>
    </row>
    <row r="584" spans="3:6" x14ac:dyDescent="0.25">
      <c r="C584"/>
      <c r="F584"/>
    </row>
    <row r="585" spans="3:6" x14ac:dyDescent="0.25">
      <c r="C585"/>
      <c r="F585"/>
    </row>
    <row r="586" spans="3:6" x14ac:dyDescent="0.25">
      <c r="C586"/>
      <c r="F586"/>
    </row>
    <row r="587" spans="3:6" x14ac:dyDescent="0.25">
      <c r="C587"/>
      <c r="F587"/>
    </row>
    <row r="588" spans="3:6" x14ac:dyDescent="0.25">
      <c r="C588"/>
      <c r="F588"/>
    </row>
    <row r="589" spans="3:6" x14ac:dyDescent="0.25">
      <c r="C589"/>
      <c r="F589"/>
    </row>
    <row r="590" spans="3:6" x14ac:dyDescent="0.25">
      <c r="C590"/>
      <c r="F590"/>
    </row>
    <row r="591" spans="3:6" x14ac:dyDescent="0.25">
      <c r="C591"/>
      <c r="F591"/>
    </row>
    <row r="592" spans="3:6" x14ac:dyDescent="0.25">
      <c r="C592"/>
      <c r="F592"/>
    </row>
    <row r="593" spans="3:6" x14ac:dyDescent="0.25">
      <c r="C593"/>
      <c r="F593"/>
    </row>
    <row r="594" spans="3:6" x14ac:dyDescent="0.25">
      <c r="C594"/>
      <c r="F594"/>
    </row>
    <row r="595" spans="3:6" x14ac:dyDescent="0.25">
      <c r="C595"/>
      <c r="F595"/>
    </row>
    <row r="596" spans="3:6" x14ac:dyDescent="0.25">
      <c r="C596"/>
      <c r="F596"/>
    </row>
    <row r="597" spans="3:6" x14ac:dyDescent="0.25">
      <c r="C597"/>
      <c r="F597"/>
    </row>
    <row r="598" spans="3:6" x14ac:dyDescent="0.25">
      <c r="C598"/>
      <c r="F598"/>
    </row>
    <row r="599" spans="3:6" x14ac:dyDescent="0.25">
      <c r="C599"/>
      <c r="F599"/>
    </row>
    <row r="600" spans="3:6" x14ac:dyDescent="0.25">
      <c r="C600"/>
      <c r="F600"/>
    </row>
    <row r="601" spans="3:6" x14ac:dyDescent="0.25">
      <c r="C601"/>
      <c r="F601"/>
    </row>
    <row r="602" spans="3:6" x14ac:dyDescent="0.25">
      <c r="C602"/>
      <c r="F602"/>
    </row>
    <row r="603" spans="3:6" x14ac:dyDescent="0.25">
      <c r="C603"/>
      <c r="F603"/>
    </row>
    <row r="604" spans="3:6" x14ac:dyDescent="0.25">
      <c r="C604"/>
      <c r="F604"/>
    </row>
    <row r="605" spans="3:6" x14ac:dyDescent="0.25">
      <c r="C605"/>
      <c r="F605"/>
    </row>
    <row r="606" spans="3:6" x14ac:dyDescent="0.25">
      <c r="C606"/>
      <c r="F606"/>
    </row>
    <row r="607" spans="3:6" x14ac:dyDescent="0.25">
      <c r="C607"/>
      <c r="F607"/>
    </row>
    <row r="608" spans="3:6" x14ac:dyDescent="0.25">
      <c r="C608"/>
      <c r="F608"/>
    </row>
    <row r="609" spans="3:6" x14ac:dyDescent="0.25">
      <c r="C609"/>
      <c r="F609"/>
    </row>
    <row r="610" spans="3:6" x14ac:dyDescent="0.25">
      <c r="C610"/>
      <c r="F610"/>
    </row>
    <row r="611" spans="3:6" x14ac:dyDescent="0.25">
      <c r="C611"/>
      <c r="F611"/>
    </row>
    <row r="612" spans="3:6" x14ac:dyDescent="0.25">
      <c r="C612"/>
      <c r="F612"/>
    </row>
    <row r="613" spans="3:6" x14ac:dyDescent="0.25">
      <c r="C613"/>
      <c r="F613"/>
    </row>
    <row r="614" spans="3:6" x14ac:dyDescent="0.25">
      <c r="C614"/>
      <c r="F614"/>
    </row>
    <row r="615" spans="3:6" x14ac:dyDescent="0.25">
      <c r="C615"/>
      <c r="F615"/>
    </row>
    <row r="616" spans="3:6" x14ac:dyDescent="0.25">
      <c r="C616"/>
      <c r="F616"/>
    </row>
    <row r="617" spans="3:6" x14ac:dyDescent="0.25">
      <c r="C617"/>
      <c r="F617"/>
    </row>
    <row r="618" spans="3:6" x14ac:dyDescent="0.25">
      <c r="C618"/>
      <c r="F618"/>
    </row>
    <row r="619" spans="3:6" x14ac:dyDescent="0.25">
      <c r="C619"/>
      <c r="F619"/>
    </row>
    <row r="620" spans="3:6" x14ac:dyDescent="0.25">
      <c r="C620"/>
      <c r="F620"/>
    </row>
    <row r="621" spans="3:6" x14ac:dyDescent="0.25">
      <c r="C621"/>
      <c r="F621"/>
    </row>
    <row r="622" spans="3:6" x14ac:dyDescent="0.25">
      <c r="C622"/>
      <c r="F622"/>
    </row>
    <row r="623" spans="3:6" x14ac:dyDescent="0.25">
      <c r="C623"/>
      <c r="F623"/>
    </row>
    <row r="624" spans="3:6" x14ac:dyDescent="0.25">
      <c r="C624"/>
      <c r="F624"/>
    </row>
    <row r="625" spans="3:6" x14ac:dyDescent="0.25">
      <c r="C625"/>
      <c r="F625"/>
    </row>
    <row r="626" spans="3:6" x14ac:dyDescent="0.25">
      <c r="C626"/>
      <c r="F626"/>
    </row>
    <row r="627" spans="3:6" x14ac:dyDescent="0.25">
      <c r="C627"/>
      <c r="F627"/>
    </row>
    <row r="628" spans="3:6" x14ac:dyDescent="0.25">
      <c r="C628"/>
      <c r="F628"/>
    </row>
    <row r="629" spans="3:6" x14ac:dyDescent="0.25">
      <c r="C629"/>
      <c r="F629"/>
    </row>
    <row r="630" spans="3:6" x14ac:dyDescent="0.25">
      <c r="C630"/>
      <c r="F630"/>
    </row>
    <row r="631" spans="3:6" x14ac:dyDescent="0.25">
      <c r="C631"/>
      <c r="F631"/>
    </row>
    <row r="632" spans="3:6" x14ac:dyDescent="0.25">
      <c r="C632"/>
      <c r="F632"/>
    </row>
    <row r="633" spans="3:6" x14ac:dyDescent="0.25">
      <c r="C633"/>
      <c r="F633"/>
    </row>
    <row r="634" spans="3:6" x14ac:dyDescent="0.25">
      <c r="C634"/>
      <c r="F634"/>
    </row>
    <row r="635" spans="3:6" x14ac:dyDescent="0.25">
      <c r="C635"/>
      <c r="F635"/>
    </row>
    <row r="636" spans="3:6" x14ac:dyDescent="0.25">
      <c r="C636"/>
      <c r="F636"/>
    </row>
    <row r="637" spans="3:6" x14ac:dyDescent="0.25">
      <c r="C637"/>
      <c r="F637"/>
    </row>
    <row r="638" spans="3:6" x14ac:dyDescent="0.25">
      <c r="C638"/>
      <c r="F638"/>
    </row>
    <row r="639" spans="3:6" x14ac:dyDescent="0.25">
      <c r="C639"/>
      <c r="F639"/>
    </row>
    <row r="640" spans="3:6" x14ac:dyDescent="0.25">
      <c r="C640"/>
      <c r="F640"/>
    </row>
    <row r="641" spans="3:6" x14ac:dyDescent="0.25">
      <c r="C641"/>
      <c r="F641"/>
    </row>
    <row r="642" spans="3:6" x14ac:dyDescent="0.25">
      <c r="C642"/>
      <c r="F642"/>
    </row>
    <row r="643" spans="3:6" x14ac:dyDescent="0.25">
      <c r="C643"/>
      <c r="F643"/>
    </row>
    <row r="644" spans="3:6" x14ac:dyDescent="0.25">
      <c r="C644"/>
      <c r="F644"/>
    </row>
    <row r="645" spans="3:6" x14ac:dyDescent="0.25">
      <c r="C645"/>
      <c r="F645"/>
    </row>
    <row r="646" spans="3:6" x14ac:dyDescent="0.25">
      <c r="C646"/>
      <c r="F646"/>
    </row>
    <row r="647" spans="3:6" x14ac:dyDescent="0.25">
      <c r="C647"/>
      <c r="F647"/>
    </row>
  </sheetData>
  <autoFilter ref="A1:F239" xr:uid="{B5DF4EEC-0C48-4977-94DE-76292C56E1F9}"/>
  <mergeCells count="3">
    <mergeCell ref="H241:K241"/>
    <mergeCell ref="H242:K242"/>
    <mergeCell ref="H243:K243"/>
  </mergeCells>
  <conditionalFormatting sqref="C648:D1048576 C1:D1">
    <cfRule type="duplicateValues" dxfId="6" priority="14"/>
  </conditionalFormatting>
  <conditionalFormatting sqref="D1:D1048576">
    <cfRule type="duplicateValues" dxfId="5" priority="2"/>
  </conditionalFormatting>
  <conditionalFormatting sqref="D240">
    <cfRule type="duplicateValues" dxfId="4" priority="1"/>
  </conditionalFormatting>
  <conditionalFormatting sqref="D648:D1048576 D1">
    <cfRule type="duplicateValues" dxfId="3" priority="18"/>
  </conditionalFormatting>
  <conditionalFormatting sqref="D648:D1048576 D1:D238">
    <cfRule type="duplicateValues" dxfId="2" priority="3"/>
  </conditionalFormatting>
  <conditionalFormatting sqref="D648:D1048576">
    <cfRule type="duplicateValues" dxfId="1" priority="4"/>
  </conditionalFormatting>
  <conditionalFormatting sqref="E648:E1048576 E1">
    <cfRule type="duplicateValues" dxfId="0" priority="16"/>
  </conditionalFormatting>
  <hyperlinks>
    <hyperlink ref="H2" r:id="rId1" display="javascript:void(0);" xr:uid="{0F8E8868-4883-40AF-B622-18B0D98192AF}"/>
    <hyperlink ref="H3" r:id="rId2" display="javascript:void(0);" xr:uid="{DD162FD8-7C0A-42B7-B893-96B376421AE7}"/>
    <hyperlink ref="H4" r:id="rId3" display="javascript:void(0);" xr:uid="{7F36873D-BAE5-40CF-81E8-EFAD6DAD3380}"/>
    <hyperlink ref="H5" r:id="rId4" display="javascript:void(0);" xr:uid="{58F3F9AD-5C86-4C13-A183-865DB6DA1545}"/>
    <hyperlink ref="H6" r:id="rId5" display="javascript:void(0);" xr:uid="{F08CB360-1169-446D-B1E2-A618779F7F28}"/>
    <hyperlink ref="H7" r:id="rId6" display="javascript:void(0);" xr:uid="{FA5FB615-1012-492C-937C-86ABF3534DCC}"/>
    <hyperlink ref="H8" r:id="rId7" display="javascript:void(0);" xr:uid="{4F78E710-4225-4405-AF5A-C190F62F4AAE}"/>
    <hyperlink ref="H9" r:id="rId8" display="javascript:void(0);" xr:uid="{D685F547-D456-41F1-8A55-A5BADCF806BA}"/>
    <hyperlink ref="H10" r:id="rId9" display="javascript:void(0);" xr:uid="{7376AE5B-6202-4296-9028-6AF35C81601E}"/>
    <hyperlink ref="H11" r:id="rId10" display="javascript:void(0);" xr:uid="{2CCF8004-C5D5-4F7F-9AE9-51EA29D31B76}"/>
    <hyperlink ref="H12" r:id="rId11" display="javascript:void(0);" xr:uid="{51F81E46-6562-4425-92A4-1F6C396037D4}"/>
    <hyperlink ref="H13" r:id="rId12" display="javascript:void(0);" xr:uid="{07E958D8-3C07-43B9-8459-1BD0ECAF0BB8}"/>
    <hyperlink ref="H14" r:id="rId13" display="javascript:void(0);" xr:uid="{CEC553D0-9871-4EE2-AF41-42C43D24DB84}"/>
    <hyperlink ref="H15" r:id="rId14" display="javascript:void(0);" xr:uid="{761EE7EE-9888-4F8C-944D-2655C0B7F1E2}"/>
    <hyperlink ref="H16" r:id="rId15" display="javascript:void(0);" xr:uid="{429FBE4E-9ADA-4484-97EA-63A9C1FA434A}"/>
    <hyperlink ref="H17" r:id="rId16" display="javascript:void(0);" xr:uid="{ECCA6410-1421-4F00-886B-33F24D3EF9FA}"/>
    <hyperlink ref="H18" r:id="rId17" display="javascript:void(0);" xr:uid="{0DED5621-A093-4959-859E-8DA3AD1DD8B7}"/>
    <hyperlink ref="H19" r:id="rId18" display="javascript:void(0);" xr:uid="{BAD73FA7-A3D3-47AF-9ADF-A433E64DD139}"/>
    <hyperlink ref="H20" r:id="rId19" display="javascript:void(0);" xr:uid="{D2AA969E-CD92-4A1C-9FC8-FF26112CA28D}"/>
    <hyperlink ref="H21" r:id="rId20" display="javascript:void(0);" xr:uid="{46DE5B7D-30CA-437D-8EAA-D73D640C0359}"/>
    <hyperlink ref="H22" r:id="rId21" display="javascript:void(0);" xr:uid="{F3EA68EB-8845-4862-9724-D003F9A9F225}"/>
    <hyperlink ref="H23" r:id="rId22" display="javascript:void(0);" xr:uid="{EFE5F1F6-629D-4816-9FBE-C9DBB54E4D1F}"/>
    <hyperlink ref="H24" r:id="rId23" display="javascript:void(0);" xr:uid="{FF2F7579-CD88-4F2F-B976-8790E6BF2C1F}"/>
    <hyperlink ref="H25" r:id="rId24" display="javascript:void(0);" xr:uid="{0D5CCDD2-0DA2-4A02-9DCA-9235217A0BF3}"/>
    <hyperlink ref="H26" r:id="rId25" display="javascript:void(0);" xr:uid="{B86DEBC0-A9AB-48ED-BEF6-2C8A76730326}"/>
    <hyperlink ref="H27" r:id="rId26" display="javascript:void(0);" xr:uid="{0B0D6B3B-5E0B-4C96-9BF3-C7D8D6747C22}"/>
    <hyperlink ref="H28" r:id="rId27" display="javascript:void(0);" xr:uid="{5B074A5C-A8AF-42A5-BFDE-B4BBBC917DBF}"/>
    <hyperlink ref="H29" r:id="rId28" display="javascript:void(0);" xr:uid="{39853986-967B-46FC-8CB4-4CF9804EEB20}"/>
    <hyperlink ref="H30" r:id="rId29" display="javascript:void(0);" xr:uid="{25190D4C-3419-41AF-B4B3-023C71B9A37C}"/>
    <hyperlink ref="H31" r:id="rId30" display="javascript:void(0);" xr:uid="{B21A03CF-30BA-418F-B640-42AFB1A81DDF}"/>
    <hyperlink ref="H32" r:id="rId31" display="javascript:void(0);" xr:uid="{A1E0B52A-2FDE-4A96-BAF1-DFFD2DAEDA0F}"/>
    <hyperlink ref="H33" r:id="rId32" display="javascript:void(0);" xr:uid="{4102EB1E-EA48-4320-9DBA-384964A28BC5}"/>
    <hyperlink ref="H34" r:id="rId33" display="javascript:void(0);" xr:uid="{7128569B-A612-4B20-B7A6-85617B213532}"/>
    <hyperlink ref="H35" r:id="rId34" display="javascript:void(0);" xr:uid="{3B71ED57-2FEF-4878-8E44-6142C2ED3809}"/>
    <hyperlink ref="H36" r:id="rId35" display="javascript:void(0);" xr:uid="{9332BDDD-93FB-4952-A55D-458D256EB254}"/>
    <hyperlink ref="H37" r:id="rId36" display="javascript:void(0);" xr:uid="{D15C227B-00CE-4FE9-A517-A5C919B08554}"/>
    <hyperlink ref="H38" r:id="rId37" display="javascript:void(0);" xr:uid="{3E8CCF1C-CA61-45B6-B099-1BDC3EA4C2C2}"/>
    <hyperlink ref="H39" r:id="rId38" display="javascript:void(0);" xr:uid="{F0F7E732-E24F-4F4F-B7A0-CF89B196F048}"/>
    <hyperlink ref="H40" r:id="rId39" display="javascript:void(0);" xr:uid="{2AFAB319-C039-4064-8180-72BF70387F43}"/>
    <hyperlink ref="H41" r:id="rId40" display="javascript:void(0);" xr:uid="{7374DC90-4EF0-4096-8EBF-88E05982A323}"/>
    <hyperlink ref="H42" r:id="rId41" display="javascript:void(0);" xr:uid="{A6CC81A2-F7EB-4F2D-8FFC-8449A579CFA4}"/>
    <hyperlink ref="H43" r:id="rId42" display="javascript:void(0);" xr:uid="{F37D4CE1-8AC3-49AC-898A-7513B3BBD57B}"/>
    <hyperlink ref="H44" r:id="rId43" display="javascript:void(0);" xr:uid="{C060C999-109E-46C4-B536-3C153201BED0}"/>
    <hyperlink ref="H45" r:id="rId44" display="javascript:void(0);" xr:uid="{E49EE835-E784-4E73-9960-651E67B3943D}"/>
    <hyperlink ref="H46" r:id="rId45" display="javascript:void(0);" xr:uid="{F027FF62-4D18-479B-AC30-60A150DF4C06}"/>
    <hyperlink ref="H47" r:id="rId46" display="javascript:void(0);" xr:uid="{125C9AF4-78CE-463D-86A8-E77BBF887FB7}"/>
    <hyperlink ref="H48" r:id="rId47" display="javascript:void(0);" xr:uid="{F015116D-D198-4F41-83A9-2F0B06EEF564}"/>
    <hyperlink ref="H49" r:id="rId48" display="javascript:void(0);" xr:uid="{91223995-9A97-4FDE-8D5C-62685DA669A9}"/>
    <hyperlink ref="H50" r:id="rId49" display="javascript:void(0);" xr:uid="{DF9A8724-0E7A-4418-A22B-3DCEB50A0866}"/>
    <hyperlink ref="H51" r:id="rId50" display="javascript:void(0);" xr:uid="{F7E46728-0D78-4B40-84BF-7276A3626ABF}"/>
    <hyperlink ref="H52" r:id="rId51" display="javascript:void(0);" xr:uid="{4EAC61A5-3BA8-4C22-89F1-FD1E0B615EF0}"/>
    <hyperlink ref="H53" r:id="rId52" display="javascript:void(0);" xr:uid="{3F9A4BC0-D6F8-463F-BA70-B22235A8A43A}"/>
    <hyperlink ref="H54" r:id="rId53" display="javascript:void(0);" xr:uid="{12033D1C-9C86-4AE9-B5EE-79217B23B50E}"/>
    <hyperlink ref="H55" r:id="rId54" display="javascript:void(0);" xr:uid="{383B1150-04D1-4B11-A107-DEC9F9F64685}"/>
    <hyperlink ref="H56" r:id="rId55" display="javascript:void(0);" xr:uid="{898A006E-33CD-4ED4-93E2-57029C1F6363}"/>
    <hyperlink ref="H57" r:id="rId56" display="javascript:void(0);" xr:uid="{703953EB-59BC-4761-B0F6-48E98500B6E9}"/>
    <hyperlink ref="H58" r:id="rId57" display="javascript:void(0);" xr:uid="{E55FD821-0991-4D74-ADD6-B54E20E15C15}"/>
    <hyperlink ref="H59" r:id="rId58" display="javascript:void(0);" xr:uid="{59C20F17-3FBB-474C-BB1F-88B5DE226EE2}"/>
    <hyperlink ref="H60" r:id="rId59" display="javascript:void(0);" xr:uid="{95DF0667-A6EF-4920-9529-B2A856DE28CC}"/>
    <hyperlink ref="H61" r:id="rId60" display="javascript:void(0);" xr:uid="{833594E6-5A02-4F67-BC91-F9C984267002}"/>
    <hyperlink ref="H62" r:id="rId61" display="javascript:void(0);" xr:uid="{41E69857-FE3E-4E78-938F-F4C444909677}"/>
    <hyperlink ref="H63" r:id="rId62" display="javascript:void(0);" xr:uid="{46547427-B315-4B73-8812-97C33FD22C6C}"/>
    <hyperlink ref="H64" r:id="rId63" display="javascript:void(0);" xr:uid="{B09224BC-51E3-44DA-B19C-F2C644ADB8AA}"/>
    <hyperlink ref="H65" r:id="rId64" display="javascript:void(0);" xr:uid="{CD6F345B-83E1-47A4-BD50-C0BB7A9D6198}"/>
    <hyperlink ref="H66" r:id="rId65" display="javascript:void(0);" xr:uid="{4CCB045B-9C67-48E5-B6F4-84A9F510645A}"/>
    <hyperlink ref="H67" r:id="rId66" display="javascript:void(0);" xr:uid="{E80FEE82-EE51-422A-8170-470CA1B325DC}"/>
    <hyperlink ref="H68" r:id="rId67" display="javascript:void(0);" xr:uid="{E227A7E8-266F-47B8-A11E-26B9D11F62A3}"/>
    <hyperlink ref="H69" r:id="rId68" display="javascript:void(0);" xr:uid="{E364823F-DD24-41F7-BBC8-42DB05E5DDA0}"/>
    <hyperlink ref="H70" r:id="rId69" display="javascript:void(0);" xr:uid="{945B2A8B-03BE-4990-A38E-9F8DC9F0FC61}"/>
    <hyperlink ref="H71" r:id="rId70" display="javascript:void(0);" xr:uid="{2A01A189-6D1E-485F-B074-AA71DB177F6C}"/>
    <hyperlink ref="H72" r:id="rId71" display="javascript:void(0);" xr:uid="{9BAD1C4C-D8FB-4FAA-94A4-F5719F36FDC8}"/>
    <hyperlink ref="H73" r:id="rId72" display="javascript:void(0);" xr:uid="{385F909C-1144-481D-A90F-B0B6A51B757B}"/>
    <hyperlink ref="H74" r:id="rId73" display="javascript:void(0);" xr:uid="{BA4FD16C-6E68-4DF0-9E32-3B357AE56D91}"/>
    <hyperlink ref="H75" r:id="rId74" display="javascript:void(0);" xr:uid="{C5F571EE-3925-4D1F-9870-FC512DFDD998}"/>
    <hyperlink ref="H76" r:id="rId75" display="javascript:void(0);" xr:uid="{02802952-023D-4DF9-951F-87D3E2F7277E}"/>
    <hyperlink ref="H77" r:id="rId76" display="javascript:void(0);" xr:uid="{14921B75-B04E-4162-A2C1-2A01FC6F810A}"/>
    <hyperlink ref="H78" r:id="rId77" display="javascript:void(0);" xr:uid="{B19D465E-B57B-4740-9D64-BC16B5ECAB38}"/>
    <hyperlink ref="H79" r:id="rId78" display="javascript:void(0);" xr:uid="{A1172072-E144-4BA9-BE5D-3DC53B52A756}"/>
    <hyperlink ref="H80" r:id="rId79" display="javascript:void(0);" xr:uid="{E480DBFF-22EF-4AF0-81F8-8DDEDAC3AD2D}"/>
    <hyperlink ref="H81" r:id="rId80" display="javascript:void(0);" xr:uid="{1CA23A7C-6858-4B40-B1FF-764713E2F9ED}"/>
    <hyperlink ref="H82" r:id="rId81" display="javascript:void(0);" xr:uid="{2B91B92C-8ABF-447C-9524-BF0F0905F75B}"/>
    <hyperlink ref="H83" r:id="rId82" display="javascript:void(0);" xr:uid="{B963AA7D-8B3B-4DC9-806D-52B31A01BFA2}"/>
    <hyperlink ref="H84" r:id="rId83" display="javascript:void(0);" xr:uid="{DC7B7C8E-C70C-43F7-9DA3-4CB1C7420D37}"/>
    <hyperlink ref="H85" r:id="rId84" display="javascript:void(0);" xr:uid="{411B7763-269B-474F-9915-EF93D4B833BA}"/>
    <hyperlink ref="H86" r:id="rId85" display="javascript:void(0);" xr:uid="{33E85F9D-AC0F-4444-BDD2-E80E68B21739}"/>
    <hyperlink ref="H87" r:id="rId86" display="javascript:void(0);" xr:uid="{6E887BC2-9433-4CCE-9529-F26C5F18E063}"/>
    <hyperlink ref="H88" r:id="rId87" display="javascript:void(0);" xr:uid="{EF03FC65-48F0-4E71-9D57-6BCC1802D38E}"/>
    <hyperlink ref="H89" r:id="rId88" display="javascript:void(0);" xr:uid="{5AF1A6C1-E302-49CA-9F63-B8BE2AFE9832}"/>
    <hyperlink ref="H90" r:id="rId89" display="javascript:void(0);" xr:uid="{A96C5075-C988-4BE9-8433-B7DB390A6D73}"/>
    <hyperlink ref="H91" r:id="rId90" display="javascript:void(0);" xr:uid="{EC298A45-EEFC-4F1A-8BA1-7834FE4977FA}"/>
    <hyperlink ref="H92" r:id="rId91" display="javascript:void(0);" xr:uid="{BA771F8A-1ACD-4A43-AF9C-FBAED934F612}"/>
    <hyperlink ref="H93" r:id="rId92" display="javascript:void(0);" xr:uid="{FF88488A-85A1-488C-A613-FA73130B2C2C}"/>
    <hyperlink ref="H94" r:id="rId93" display="javascript:void(0);" xr:uid="{EC0FD973-A027-4F50-AB18-F0014FECFC61}"/>
    <hyperlink ref="H95" r:id="rId94" display="javascript:void(0);" xr:uid="{829F88BD-86A0-4EE7-B29A-08298E1C458E}"/>
    <hyperlink ref="H96" r:id="rId95" display="javascript:void(0);" xr:uid="{31BA13FB-26D6-40B3-BF23-14C4EB69C95E}"/>
    <hyperlink ref="H97" r:id="rId96" display="javascript:void(0);" xr:uid="{AEE4E171-4183-4EDB-9EDD-52E826C5565F}"/>
    <hyperlink ref="H98" r:id="rId97" display="javascript:void(0);" xr:uid="{64202D57-3DF3-489E-AA7F-7B3A6054FADA}"/>
    <hyperlink ref="H99" r:id="rId98" display="javascript:void(0);" xr:uid="{2BE3C294-11CB-4F53-AF56-524E799122AE}"/>
    <hyperlink ref="H100" r:id="rId99" display="javascript:void(0);" xr:uid="{834EFB8D-B84F-4594-BC24-3AA55A39985C}"/>
    <hyperlink ref="H101" r:id="rId100" display="javascript:void(0);" xr:uid="{10545BA5-9815-483C-9888-22BBC92E69D8}"/>
    <hyperlink ref="H102" r:id="rId101" display="javascript:void(0);" xr:uid="{CA3DF53C-C552-4CDB-AB08-C6BC87CC82C9}"/>
    <hyperlink ref="H103" r:id="rId102" display="javascript:void(0);" xr:uid="{8062DC1B-953F-4E7B-82A0-57A757593E87}"/>
    <hyperlink ref="H104" r:id="rId103" display="javascript:void(0);" xr:uid="{9CCB0284-8D77-4883-B6E4-E0E64FACD9ED}"/>
    <hyperlink ref="H105" r:id="rId104" display="javascript:void(0);" xr:uid="{130B3BEE-5FF5-4779-93B5-4795EADC4238}"/>
    <hyperlink ref="H106" r:id="rId105" display="javascript:void(0);" xr:uid="{C3E63420-CF36-4893-8316-44C2299A2D14}"/>
    <hyperlink ref="H107" r:id="rId106" display="javascript:void(0);" xr:uid="{D7BE4BD5-F560-4B57-BB77-2D198ABDD618}"/>
    <hyperlink ref="H108" r:id="rId107" display="javascript:void(0);" xr:uid="{F0D751D2-62AB-4010-976A-7EAB3D7F3E87}"/>
    <hyperlink ref="H109" r:id="rId108" display="javascript:void(0);" xr:uid="{B98D7FCD-C2F8-451F-8140-C9D26AA419B2}"/>
    <hyperlink ref="H110" r:id="rId109" display="javascript:void(0);" xr:uid="{D5DCFBCA-BD4F-46B5-9020-F766DDB48515}"/>
    <hyperlink ref="H111" r:id="rId110" display="javascript:void(0);" xr:uid="{70F8A336-BEF5-4844-9823-77719E823A19}"/>
    <hyperlink ref="H112" r:id="rId111" display="javascript:void(0);" xr:uid="{EF0C26DD-78C7-4FA6-A5DA-006B012FD3FF}"/>
    <hyperlink ref="H113" r:id="rId112" display="javascript:void(0);" xr:uid="{7C7F46EF-6E5A-4D3B-A101-040E8E3D9550}"/>
    <hyperlink ref="H114" r:id="rId113" display="javascript:void(0);" xr:uid="{3288AE62-C2AB-4FEB-9C35-E5F33B0D78DF}"/>
    <hyperlink ref="H115" r:id="rId114" display="javascript:void(0);" xr:uid="{0F4C6E9C-C294-4DB4-867B-DF2D52F540D1}"/>
    <hyperlink ref="H116" r:id="rId115" display="javascript:void(0);" xr:uid="{3A3EBDAB-CA4D-4D85-9944-509314A695B7}"/>
    <hyperlink ref="H117" r:id="rId116" display="javascript:void(0);" xr:uid="{868E9005-138B-4962-B1C3-B2FA54704F68}"/>
    <hyperlink ref="H118" r:id="rId117" display="javascript:void(0);" xr:uid="{E878AAA5-C7CC-4FF1-911C-9312D0B35806}"/>
    <hyperlink ref="H119" r:id="rId118" display="javascript:void(0);" xr:uid="{24B369BE-91F1-42D3-A78B-E6801A2D9EFA}"/>
    <hyperlink ref="H120" r:id="rId119" display="javascript:void(0);" xr:uid="{CA5331F5-1B1A-401B-B341-9B18BC83D749}"/>
    <hyperlink ref="H121" r:id="rId120" display="javascript:void(0);" xr:uid="{6C648E7C-A5C9-42FE-855F-AD81E8B1D0BA}"/>
    <hyperlink ref="H122" r:id="rId121" display="javascript:void(0);" xr:uid="{A348321F-0F04-4876-9CBA-1381C95F3278}"/>
    <hyperlink ref="H123" r:id="rId122" display="javascript:void(0);" xr:uid="{E365C344-0537-4B06-B87D-98B56A343139}"/>
    <hyperlink ref="H124" r:id="rId123" display="javascript:void(0);" xr:uid="{ECF277F7-D80A-42D1-9C6E-7C48BD199B70}"/>
    <hyperlink ref="H125" r:id="rId124" display="javascript:void(0);" xr:uid="{7530607B-4939-44D9-8814-330C55D9A399}"/>
    <hyperlink ref="H126" r:id="rId125" display="javascript:void(0);" xr:uid="{95850FD6-94BC-4206-9A18-52A3C0F53A63}"/>
    <hyperlink ref="H127" r:id="rId126" display="javascript:void(0);" xr:uid="{B2AE009D-A85D-4CBE-9B0A-EA2624CB39F4}"/>
    <hyperlink ref="H128" r:id="rId127" display="javascript:void(0);" xr:uid="{65143AFA-7F56-4C38-8C45-C0FC5E22D9B6}"/>
    <hyperlink ref="H129" r:id="rId128" display="javascript:void(0);" xr:uid="{A04E8145-DE69-4F37-9B2F-C4896B149BFB}"/>
    <hyperlink ref="H130" r:id="rId129" display="javascript:void(0);" xr:uid="{3AA81EFE-AA76-4897-968D-A323B23B70AD}"/>
    <hyperlink ref="H131" r:id="rId130" display="javascript:void(0);" xr:uid="{1FCF5F67-6484-4D5A-96A5-6284FD68AA7D}"/>
    <hyperlink ref="H132" r:id="rId131" display="javascript:void(0);" xr:uid="{2E2D9204-890A-42A9-812E-E6AFBC160F62}"/>
    <hyperlink ref="H133" r:id="rId132" display="javascript:void(0);" xr:uid="{A7A825B0-BA90-4C6E-8FB6-26C7FD9E4CFB}"/>
    <hyperlink ref="H134" r:id="rId133" display="javascript:void(0);" xr:uid="{056FB449-F793-418D-8AE5-5DAC3E5EAFA8}"/>
    <hyperlink ref="H135" r:id="rId134" display="javascript:void(0);" xr:uid="{262283B6-0A8E-436C-AF71-9F5D5883E051}"/>
    <hyperlink ref="H136" r:id="rId135" display="javascript:void(0);" xr:uid="{9FDEFED2-DD30-4553-A3F5-21BFEAA3F453}"/>
    <hyperlink ref="H137" r:id="rId136" display="javascript:void(0);" xr:uid="{EA97DB93-C9CA-4E9F-B6B4-2EDE64980DB3}"/>
    <hyperlink ref="H138" r:id="rId137" display="javascript:void(0);" xr:uid="{B6DE632C-DE29-4FBB-A5B0-68FE6C5EB20D}"/>
    <hyperlink ref="H139" r:id="rId138" display="javascript:void(0);" xr:uid="{876765F8-F048-47DE-B476-CD41030FA3F8}"/>
    <hyperlink ref="H140" r:id="rId139" display="javascript:void(0);" xr:uid="{34B1EF6D-5547-4A66-89F8-FBD9F3BC61CE}"/>
    <hyperlink ref="H141" r:id="rId140" display="javascript:void(0);" xr:uid="{77FD72A5-B60A-4E90-B0D5-854D744098E9}"/>
    <hyperlink ref="H142" r:id="rId141" display="javascript:void(0);" xr:uid="{E9380700-68BB-4D84-B506-6B3E2BDD3687}"/>
    <hyperlink ref="H143" r:id="rId142" display="javascript:void(0);" xr:uid="{51C068FA-AF03-4199-AB07-6F30038CB8DD}"/>
    <hyperlink ref="H144" r:id="rId143" display="javascript:void(0);" xr:uid="{FB5BE4E0-8643-4E86-952A-5199D3B5269A}"/>
    <hyperlink ref="H145" r:id="rId144" display="javascript:void(0);" xr:uid="{65A7AE77-7C95-41F8-97AA-928F7331A569}"/>
    <hyperlink ref="H146" r:id="rId145" display="javascript:void(0);" xr:uid="{4D5A6DA3-61A4-4476-976B-0991E3587657}"/>
    <hyperlink ref="H147" r:id="rId146" display="javascript:void(0);" xr:uid="{C1B46640-04EC-4311-B394-1813E09754C5}"/>
    <hyperlink ref="H148" r:id="rId147" display="javascript:void(0);" xr:uid="{6A6C00FB-CE97-4F45-8D83-1981AB79F798}"/>
    <hyperlink ref="H149" r:id="rId148" display="javascript:void(0);" xr:uid="{90335823-CACB-4A01-A124-3820A92DB4BD}"/>
    <hyperlink ref="H150" r:id="rId149" display="javascript:void(0);" xr:uid="{29AEC25D-FC37-423E-B55A-F5501DB6EE57}"/>
    <hyperlink ref="H151" r:id="rId150" display="javascript:void(0);" xr:uid="{F5756A59-5D20-4ABE-BEA8-B3AC82733286}"/>
    <hyperlink ref="H152" r:id="rId151" display="javascript:void(0);" xr:uid="{ED230C9F-E288-40E7-9CDB-F59BF1E01745}"/>
    <hyperlink ref="H153" r:id="rId152" display="javascript:void(0);" xr:uid="{6292B876-A440-44D3-9244-86483D920A33}"/>
    <hyperlink ref="H154" r:id="rId153" display="javascript:void(0);" xr:uid="{291F9357-EFB2-446B-AB83-12CF872AB486}"/>
    <hyperlink ref="H155" r:id="rId154" display="javascript:void(0);" xr:uid="{69227E07-F284-4C55-9A2F-5162851BB698}"/>
    <hyperlink ref="H156" r:id="rId155" display="javascript:void(0);" xr:uid="{871378C6-2C74-43DB-9380-031AE8FAB16A}"/>
    <hyperlink ref="H157" r:id="rId156" display="javascript:void(0);" xr:uid="{5A469AE1-D244-4C09-8A4C-E527D137FF1A}"/>
    <hyperlink ref="H158" r:id="rId157" display="javascript:void(0);" xr:uid="{C7C708F1-4382-4F7B-94CA-603BF5E29829}"/>
    <hyperlink ref="H159" r:id="rId158" display="javascript:void(0);" xr:uid="{F82FD582-2FC3-47D9-A358-A5B28192337B}"/>
    <hyperlink ref="H160" r:id="rId159" display="javascript:void(0);" xr:uid="{CFD83D7B-3CBC-41FD-8D74-5E081A2C1AA5}"/>
    <hyperlink ref="H161" r:id="rId160" display="javascript:void(0);" xr:uid="{E08A3ECA-3C10-4957-9BEE-2E96C16A5D90}"/>
    <hyperlink ref="H162" r:id="rId161" display="javascript:void(0);" xr:uid="{5A4C883E-ECF0-4963-BB7B-C911E3C6DF76}"/>
    <hyperlink ref="H163" r:id="rId162" display="javascript:void(0);" xr:uid="{6521C5E0-D40B-452C-A73E-5A6C3429F98B}"/>
    <hyperlink ref="H164" r:id="rId163" display="javascript:void(0);" xr:uid="{BDCF8599-C59C-40E6-B702-495DAF6D21A4}"/>
    <hyperlink ref="H165" r:id="rId164" display="javascript:void(0);" xr:uid="{0EE5664A-0A3A-408E-AA5B-73F71F0260DE}"/>
    <hyperlink ref="H166" r:id="rId165" display="javascript:void(0);" xr:uid="{3662E579-28C9-4591-9549-14C52908AF8B}"/>
    <hyperlink ref="H167" r:id="rId166" display="javascript:void(0);" xr:uid="{96BC7E36-F0BD-46A4-8099-3A41D5B6B911}"/>
    <hyperlink ref="H168" r:id="rId167" display="javascript:void(0);" xr:uid="{3E5AD7A9-0887-4187-8EDF-B8552F8D57D1}"/>
    <hyperlink ref="H169" r:id="rId168" display="javascript:void(0);" xr:uid="{34BADC35-4F36-4877-9A8F-86C0D0A907CB}"/>
    <hyperlink ref="H170" r:id="rId169" display="javascript:void(0);" xr:uid="{7181B66F-AEF2-451F-8BBB-0412183A901C}"/>
    <hyperlink ref="H171" r:id="rId170" display="javascript:void(0);" xr:uid="{9870F331-A318-42D7-9B0D-E5DF2CF902DA}"/>
    <hyperlink ref="H172" r:id="rId171" display="javascript:void(0);" xr:uid="{65F730AB-E78F-4BEF-B575-63E3D0DC60A1}"/>
    <hyperlink ref="H173" r:id="rId172" display="javascript:void(0);" xr:uid="{8309BD90-E2D6-4A9C-AC43-DBBDAB3CC1F9}"/>
    <hyperlink ref="H174" r:id="rId173" display="javascript:void(0);" xr:uid="{CDC362D2-C00A-4719-BB1C-17E49CCF48C7}"/>
    <hyperlink ref="H175" r:id="rId174" display="javascript:void(0);" xr:uid="{2F60F85C-E3DA-4D42-A696-72B23D486955}"/>
    <hyperlink ref="H176" r:id="rId175" display="javascript:void(0);" xr:uid="{77E98EE9-4231-4806-8941-BDD87137F5B1}"/>
    <hyperlink ref="H177" r:id="rId176" display="javascript:void(0);" xr:uid="{49171318-89C9-4DB8-B8C6-1C8C5BD26102}"/>
    <hyperlink ref="H178" r:id="rId177" display="javascript:void(0);" xr:uid="{2355D85F-28AA-4196-8E24-5CC6051787D6}"/>
    <hyperlink ref="H179" r:id="rId178" display="javascript:void(0);" xr:uid="{AF90FE1C-1C77-4A73-ABA0-EE66ACE3178F}"/>
    <hyperlink ref="H180" r:id="rId179" display="javascript:void(0);" xr:uid="{890E6DC9-5AA5-4505-8C39-93024C83B679}"/>
    <hyperlink ref="H181" r:id="rId180" display="javascript:void(0);" xr:uid="{270185C5-620A-4E38-9AE7-50D2E8C3D8E7}"/>
    <hyperlink ref="H182" r:id="rId181" display="javascript:void(0);" xr:uid="{724EB4BE-5238-49AB-9294-5109B4E8DD46}"/>
    <hyperlink ref="H183" r:id="rId182" display="javascript:void(0);" xr:uid="{FC4E281F-FE78-44D8-A787-20CB072DA316}"/>
    <hyperlink ref="H184" r:id="rId183" display="javascript:void(0);" xr:uid="{3EA05ECD-EF17-41F3-A567-F33FD002A591}"/>
    <hyperlink ref="H185" r:id="rId184" display="javascript:void(0);" xr:uid="{3E353AF5-7A85-4E76-ADA1-ED0F8BFA15B8}"/>
    <hyperlink ref="H186" r:id="rId185" display="javascript:void(0);" xr:uid="{BC3B88AC-4DBA-446E-BB09-29B0B296B4C2}"/>
    <hyperlink ref="H187" r:id="rId186" display="javascript:void(0);" xr:uid="{4895707D-CF36-4A6B-91C0-3ADDD05C61C9}"/>
    <hyperlink ref="H188" r:id="rId187" display="javascript:void(0);" xr:uid="{D2CC07F9-7B0A-4882-8493-032AE0876D4B}"/>
    <hyperlink ref="H189" r:id="rId188" display="javascript:void(0);" xr:uid="{42764131-EB47-46D5-8647-8887D643EBB3}"/>
    <hyperlink ref="H190" r:id="rId189" display="javascript:void(0);" xr:uid="{9021BA64-3C21-4EFF-966A-F3DB35188BBC}"/>
    <hyperlink ref="H191" r:id="rId190" display="javascript:void(0);" xr:uid="{2D6EFC27-9225-491F-BCC5-8F5DC820F989}"/>
    <hyperlink ref="H192" r:id="rId191" display="javascript:void(0);" xr:uid="{E3451223-89DE-4CC1-B10B-0DC8F8A79A59}"/>
    <hyperlink ref="H193" r:id="rId192" display="javascript:void(0);" xr:uid="{0E5A4D39-7C81-44EA-9457-B58909CA4CB7}"/>
    <hyperlink ref="H194" r:id="rId193" display="javascript:void(0);" xr:uid="{38850292-D7FD-4A45-9FC4-DD93969649C3}"/>
    <hyperlink ref="H195" r:id="rId194" display="javascript:void(0);" xr:uid="{71F51A02-F189-472D-97C6-BC630CA72952}"/>
    <hyperlink ref="H196" r:id="rId195" display="javascript:void(0);" xr:uid="{CBFB7E40-828D-4DFC-AA48-CFFBCA72F2B0}"/>
    <hyperlink ref="H197" r:id="rId196" display="javascript:void(0);" xr:uid="{50DB470E-3301-4325-BBA4-1F508372CA4F}"/>
    <hyperlink ref="H198" r:id="rId197" display="javascript:void(0);" xr:uid="{2D3AF334-E820-46DE-93C8-05B2B84410E8}"/>
    <hyperlink ref="H199" r:id="rId198" display="javascript:void(0);" xr:uid="{E73A3BDD-747D-4FE8-8930-4ADF2976866E}"/>
    <hyperlink ref="H200" r:id="rId199" display="javascript:void(0);" xr:uid="{FD967426-E6AD-4AAB-B983-56504B3F3EBD}"/>
    <hyperlink ref="H201" r:id="rId200" display="javascript:void(0);" xr:uid="{315CE97E-BDC6-4DB9-A24D-2E616C87454A}"/>
    <hyperlink ref="H202" r:id="rId201" display="javascript:void(0);" xr:uid="{FF1EB566-9F99-4F3F-9AF2-A05A1D1AFF1D}"/>
    <hyperlink ref="H203" r:id="rId202" display="javascript:void(0);" xr:uid="{505595F4-CE20-49CE-A2A1-04C743FE8D60}"/>
    <hyperlink ref="H204" r:id="rId203" display="javascript:void(0);" xr:uid="{E76C66A5-A55D-48B0-9FA8-06D612BA6C5E}"/>
    <hyperlink ref="H205" r:id="rId204" display="javascript:void(0);" xr:uid="{96C55380-B1D5-4301-B9A7-3029E63B6DF1}"/>
    <hyperlink ref="H206" r:id="rId205" display="javascript:void(0);" xr:uid="{6E3D1583-33B3-42C4-95EA-858A0C033056}"/>
    <hyperlink ref="H207" r:id="rId206" display="javascript:void(0);" xr:uid="{E6860DE1-13B7-4C40-BD6A-A3AC8753713B}"/>
    <hyperlink ref="H208" r:id="rId207" display="javascript:void(0);" xr:uid="{716CD760-D610-49B6-B7A2-2592AB3CDEAE}"/>
    <hyperlink ref="H209" r:id="rId208" display="javascript:void(0);" xr:uid="{398581A3-45AA-4BCA-9264-FAB25095B2D7}"/>
    <hyperlink ref="H210" r:id="rId209" display="javascript:void(0);" xr:uid="{A08D6EFF-6B01-48CA-9350-394EC2AF2E38}"/>
    <hyperlink ref="H211" r:id="rId210" display="javascript:void(0);" xr:uid="{BD6ED1DE-587D-405C-86DB-13C516A31E46}"/>
    <hyperlink ref="H212" r:id="rId211" display="javascript:void(0);" xr:uid="{B111CB6E-B738-4D79-8D76-E7F14850DCBD}"/>
    <hyperlink ref="H213" r:id="rId212" display="javascript:void(0);" xr:uid="{63017EF4-9270-46A4-9047-16BE84AA6152}"/>
    <hyperlink ref="H214" r:id="rId213" display="javascript:void(0);" xr:uid="{B5FE34DA-2AEE-44CD-9B5F-54179DA2077F}"/>
    <hyperlink ref="H215" r:id="rId214" display="javascript:void(0);" xr:uid="{6F3450C5-6AB8-4A9B-8653-385B59ACFE5C}"/>
    <hyperlink ref="H216" r:id="rId215" display="javascript:void(0);" xr:uid="{CF695A96-5CFE-461C-BE28-255FC839FD35}"/>
    <hyperlink ref="H217" r:id="rId216" display="javascript:void(0);" xr:uid="{1B34AEF3-2837-4AA6-AD05-5A6AD0A2C782}"/>
    <hyperlink ref="H218" r:id="rId217" display="javascript:void(0);" xr:uid="{9A11505E-EFF6-4163-8EDB-770BABA5F1AF}"/>
    <hyperlink ref="H219" r:id="rId218" display="javascript:void(0);" xr:uid="{133356DD-B974-4ED9-8E0C-22D9D5F26036}"/>
    <hyperlink ref="H220" r:id="rId219" display="javascript:void(0);" xr:uid="{A6CFEF9D-D67E-4F91-82C3-88F2AF16C429}"/>
    <hyperlink ref="H221" r:id="rId220" display="javascript:void(0);" xr:uid="{22870CEE-5E5A-4301-8D14-AE37D9A09A3C}"/>
    <hyperlink ref="H222" r:id="rId221" display="javascript:void(0);" xr:uid="{E85D5C02-034A-4506-B4AC-73C3688B4ECD}"/>
    <hyperlink ref="H223" r:id="rId222" display="javascript:void(0);" xr:uid="{F1AAA7A4-6908-4253-B55B-0291BF827075}"/>
    <hyperlink ref="H224" r:id="rId223" display="javascript:void(0);" xr:uid="{34C7E505-6638-4BF8-ABF8-6DB38078B26D}"/>
    <hyperlink ref="H225" r:id="rId224" display="javascript:void(0);" xr:uid="{A9617A71-1C51-4E04-A22D-7E10F2A8CAAF}"/>
    <hyperlink ref="H226" r:id="rId225" display="javascript:void(0);" xr:uid="{539A288E-E74D-4148-8487-BAC6CAA2D924}"/>
    <hyperlink ref="H227" r:id="rId226" display="javascript:void(0);" xr:uid="{B5BF0E54-DFE5-49F1-8307-77F842BB7CE5}"/>
    <hyperlink ref="H228" r:id="rId227" display="javascript:void(0);" xr:uid="{606A0DB3-8D4D-44FF-90D7-74CEF9182B45}"/>
    <hyperlink ref="H229" r:id="rId228" display="javascript:void(0);" xr:uid="{3C472D03-0B65-4A57-ABAC-33E29FE32A6C}"/>
    <hyperlink ref="H230" r:id="rId229" display="javascript:void(0);" xr:uid="{62B8FDF3-A7D4-4C21-92B7-9DBF163F8D8A}"/>
    <hyperlink ref="H231" r:id="rId230" display="javascript:void(0);" xr:uid="{5BF6CD8D-514F-4AA1-A447-43B632FA4D1F}"/>
    <hyperlink ref="H232" r:id="rId231" display="javascript:void(0);" xr:uid="{1DBA409B-EEAA-4DE7-A89B-A591F7A342B9}"/>
    <hyperlink ref="H233" r:id="rId232" display="javascript:void(0);" xr:uid="{91CF42FB-5545-4182-BE10-0256D8BC795C}"/>
    <hyperlink ref="H234" r:id="rId233" display="javascript:void(0);" xr:uid="{4AD28EF8-1452-4A0C-9DCC-136573B71E8D}"/>
    <hyperlink ref="H235" r:id="rId234" display="javascript:void(0);" xr:uid="{E828159C-529C-4E39-ABAC-44899B0AFD77}"/>
    <hyperlink ref="H236" r:id="rId235" display="javascript:void(0);" xr:uid="{F16900CD-6AE1-40A1-841D-3202731D8648}"/>
    <hyperlink ref="H237" r:id="rId236" display="javascript:void(0);" xr:uid="{255F94D8-81DB-43DC-85C5-23F709B4601B}"/>
    <hyperlink ref="H238" r:id="rId237" display="javascript:void(0);" xr:uid="{FA2EE8F3-F61F-4272-9853-66F990E1B011}"/>
    <hyperlink ref="H239" r:id="rId238" display="javascript:void(0);" xr:uid="{1E4A9D03-3BB0-4470-86FE-76B06758BFD8}"/>
    <hyperlink ref="H240" r:id="rId239" display="javascript:void(0);" xr:uid="{D2C29D77-DDAA-4BC7-8008-2C08B55A294F}"/>
  </hyperlinks>
  <pageMargins left="0.7" right="0.7" top="0.75" bottom="0.75" header="0.3" footer="0.3"/>
  <pageSetup orientation="portrait" r:id="rId240"/>
  <drawing r:id="rId2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Sheet2</vt:lpstr>
      <vt:lpstr>Sheet6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eissa</dc:creator>
  <cp:lastModifiedBy>ahmed eissa</cp:lastModifiedBy>
  <dcterms:created xsi:type="dcterms:W3CDTF">2015-06-05T18:17:20Z</dcterms:created>
  <dcterms:modified xsi:type="dcterms:W3CDTF">2026-06-16T13:44:01Z</dcterms:modified>
</cp:coreProperties>
</file>